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C_Chain_Data" state="visible" r:id="rId4"/>
    <sheet sheetId="2" name="검증1_필드완전성" state="visible" r:id="rId5"/>
    <sheet sheetId="3" name="검증2_공정별교차검증" state="visible" r:id="rId6"/>
    <sheet sheetId="4" name="검증3_FK_UUID검증" state="visible" r:id="rId7"/>
    <sheet sheetId="5" name="요약_대시보드" state="visible" r:id="rId8"/>
  </sheets>
  <calcPr calcId="171027"/>
</workbook>
</file>

<file path=xl/sharedStrings.xml><?xml version="1.0" encoding="utf-8"?>
<sst xmlns="http://schemas.openxmlformats.org/spreadsheetml/2006/main" count="1974" uniqueCount="789">
  <si>
    <t>No</t>
  </si>
  <si>
    <t>FE구분</t>
  </si>
  <si>
    <t>FE(고장영향)</t>
  </si>
  <si>
    <t>S(심각도)</t>
  </si>
  <si>
    <t>L2-1.공정번호</t>
  </si>
  <si>
    <t>공정명</t>
  </si>
  <si>
    <t>FM(고장형태)</t>
  </si>
  <si>
    <t>4M</t>
  </si>
  <si>
    <t>작업요소(WE)</t>
  </si>
  <si>
    <t>FC(고장원인)</t>
  </si>
  <si>
    <t>B5.예방관리(발생 전 방지)</t>
  </si>
  <si>
    <t>A6.검출관리(발생 후 검출)</t>
  </si>
  <si>
    <t>O</t>
  </si>
  <si>
    <t>D</t>
  </si>
  <si>
    <t>AP</t>
  </si>
  <si>
    <t>LinkID</t>
  </si>
  <si>
    <t>FM_ID</t>
  </si>
  <si>
    <t>FE_ID</t>
  </si>
  <si>
    <t>FC_ID</t>
  </si>
  <si>
    <t>YP</t>
  </si>
  <si>
    <t>PR 두께 Spec Out으로 인한 패턴 불량</t>
  </si>
  <si>
    <t>01</t>
  </si>
  <si>
    <t>작업환경</t>
  </si>
  <si>
    <t>파티클 초과</t>
  </si>
  <si>
    <t>EN</t>
  </si>
  <si>
    <t>클린룸</t>
  </si>
  <si>
    <t>풍속(Air Velocity, m/s) 부적합</t>
  </si>
  <si>
    <t xml:space="preserve">P:클린룸 작업자 교육 및 인증, 작업표준서 게시
작업자 교육/숙련도 평가 실시</t>
  </si>
  <si>
    <t>D:Particle Counter 파티클 측정, 매 근무조 실시</t>
  </si>
  <si>
    <t>L</t>
  </si>
  <si>
    <t>auto-PF-L3-001-EN-001-C-002-FC</t>
  </si>
  <si>
    <t>PF-L2-001-M-001</t>
  </si>
  <si>
    <t>PF-L1-YP-003-006-006</t>
  </si>
  <si>
    <t>PF-L3-001-EN-001-C-002-FC</t>
  </si>
  <si>
    <t>FFU가 청정 공기를 순환·공급하여 클린룸 청정도를 유지한다 부적합</t>
  </si>
  <si>
    <t>P:보관 조건(온습도) 관리</t>
  </si>
  <si>
    <t>D:육안 검사, 외관 확인, 매 LOT</t>
  </si>
  <si>
    <t>f17a0c18-c43e-4188-a570-e8a107f1840f</t>
  </si>
  <si>
    <t>PF-L3-001-EN-001-G-002-FC</t>
  </si>
  <si>
    <t>온습도 제어 이탈</t>
  </si>
  <si>
    <t xml:space="preserve">P:FFU 풍속 정기 측정 및 PM, 이상 시 알람 인터록
보관 조건(온습도) 관리</t>
  </si>
  <si>
    <t>PF-FC-001-M001-EN001-K001</t>
  </si>
  <si>
    <t>PF-L3-001-EN-001-K-001</t>
  </si>
  <si>
    <t>FFU(Fan Filter Unit)</t>
  </si>
  <si>
    <t>풍속 저하</t>
  </si>
  <si>
    <t xml:space="preserve">P:FFU 풍속 정기 측정 및 PM, 이상 시 알람 인터록
작업표준서(WI) 개정</t>
  </si>
  <si>
    <t>PF-FC-001-M001-EN001-K002</t>
  </si>
  <si>
    <t>PF-L3-001-EN-001-K-002</t>
  </si>
  <si>
    <t>IM</t>
  </si>
  <si>
    <t>HEPA 필터 소모품</t>
  </si>
  <si>
    <t>HEPA 필터 성능 저하</t>
  </si>
  <si>
    <t xml:space="preserve">P:HEPA 필터 정기 교체 주기 관리, 차압 모니터링
수입품질 관리(IQC), 자재 성적서(COC) 확인</t>
  </si>
  <si>
    <t>M</t>
  </si>
  <si>
    <t>PF-FC-001-M001-IM001-K001</t>
  </si>
  <si>
    <t>PF-L3-001-IM-001-K-001</t>
  </si>
  <si>
    <t>MC</t>
  </si>
  <si>
    <t>항온항습기</t>
  </si>
  <si>
    <t>설비 가동률 저하</t>
  </si>
  <si>
    <t xml:space="preserve">P:항온항습기 정기 PM 및 교정, 온습도 실시간 모니터링
예방유지보전(PM)</t>
  </si>
  <si>
    <t>PF-FC-001-M001-MC001-K001</t>
  </si>
  <si>
    <t>PF-L3-001-MC-001-K-001</t>
  </si>
  <si>
    <t>습도(Humidity, %RH) 부적합</t>
  </si>
  <si>
    <t>P:항온항습기 정기 PM 및 교정, 온습도 실시간 모니터링</t>
  </si>
  <si>
    <t>PF-FC-001-M001-MC001-K002</t>
  </si>
  <si>
    <t>PF-L3-001-MC-001-K-002</t>
  </si>
  <si>
    <t>MN</t>
  </si>
  <si>
    <t>클린룸 담당자</t>
  </si>
  <si>
    <t>작업 숙련도 부족</t>
  </si>
  <si>
    <t xml:space="preserve">D:Particle Counter 파티클 측정, 매 근무조 실시
육안 검사, 외관 확인, 매 LOT</t>
  </si>
  <si>
    <t>PF-FC-001-M001-MN001-K001</t>
  </si>
  <si>
    <t>PF-L3-001-MN-001-K-001</t>
  </si>
  <si>
    <t>Particle 오염으로 인한 제품 특성 이상</t>
  </si>
  <si>
    <t>10</t>
  </si>
  <si>
    <t>IQA(수입검사)</t>
  </si>
  <si>
    <t>두께 규격 이탈</t>
  </si>
  <si>
    <t>두께 측정기</t>
  </si>
  <si>
    <t>광학 해상도(Optical Resolution, μm) 부적합</t>
  </si>
  <si>
    <t>P:두께 측정기 정기 교정(MSA), PM 일정 관리</t>
  </si>
  <si>
    <t>D:두께 측정기 전수 측정, 버니어 캘리퍼스 교차 검증</t>
  </si>
  <si>
    <t>auto-PF-L3-010-MC-001-C-002-FC</t>
  </si>
  <si>
    <t>PF-L2-010-M-001</t>
  </si>
  <si>
    <t>PF-L1-YP-003-001-001</t>
  </si>
  <si>
    <t>PF-L3-010-MC-001-C-002-FC</t>
  </si>
  <si>
    <t>HIGH POWER SCOPE</t>
  </si>
  <si>
    <t>PF-FC-010-M001-MC001-K002</t>
  </si>
  <si>
    <t>PF-L3-010-MC-001-K-002</t>
  </si>
  <si>
    <t>HIGH POWER SCOPE가 Wafer를 Auto Loading하여 외관 검사를 수행한다 부적합</t>
  </si>
  <si>
    <t>P:예방유지보전(PM)</t>
  </si>
  <si>
    <t>D:바코드 스캐너, 검사, 매 LOT</t>
  </si>
  <si>
    <t>84cd474c-f8a2-4204-ad44-15732d3c6943</t>
  </si>
  <si>
    <t>PF-L3-010-MC-001-G-002-FC</t>
  </si>
  <si>
    <t>측정 오차</t>
  </si>
  <si>
    <t xml:space="preserve">P:두께 측정기 정기 교정(MSA), PM 일정 관리
예방유지보전(PM)</t>
  </si>
  <si>
    <t>PF-FC-010-M001-MC001-K001</t>
  </si>
  <si>
    <t>PF-L3-010-MC-001-K-001</t>
  </si>
  <si>
    <t>IQA 검사원</t>
  </si>
  <si>
    <t>판정 기준 오적용</t>
  </si>
  <si>
    <t xml:space="preserve">P:검사원 인증 교육, 판정 기준서 최신화 및 게시
작업자 교육/훈련</t>
  </si>
  <si>
    <t xml:space="preserve">D:두께 측정기 전수 측정, 버니어 캘리퍼스 교차 검증
바코드 스캐너, 검사, 매 LOT</t>
  </si>
  <si>
    <t>PF-FC-010-M001-MN001-K001</t>
  </si>
  <si>
    <t>PF-L3-010-MN-001-K-001</t>
  </si>
  <si>
    <t>Wafer 표면 결함 미검출로 인한 후공정 유출</t>
  </si>
  <si>
    <t>TTV 규격 초과</t>
  </si>
  <si>
    <t>검사실</t>
  </si>
  <si>
    <t>환경 조건 이탈</t>
  </si>
  <si>
    <t xml:space="preserve">P:검사실 청정도 및 조도 정기 점검
보관 조건(온습도) 관리</t>
  </si>
  <si>
    <t>PF-FC-010-M002-EN001-K001</t>
  </si>
  <si>
    <t>PF-L2-010-M-002</t>
  </si>
  <si>
    <t>PF-L1-YP-003-002-002</t>
  </si>
  <si>
    <t>PF-L3-010-EN-001-K-001</t>
  </si>
  <si>
    <t>입고 Wafer</t>
  </si>
  <si>
    <t>자재 품질 부적합</t>
  </si>
  <si>
    <t xml:space="preserve">P:입고 Wafer 성적서 검토, 공급업체 SQC 모니터링
수입품질 관리(IQC), 자재 성적서(COC) 확인</t>
  </si>
  <si>
    <t>PF-FC-010-M002-IM001-K001</t>
  </si>
  <si>
    <t>PF-L3-010-IM-001-K-001</t>
  </si>
  <si>
    <t>Lot 혼입으로 인한 Wafer 수율 손실</t>
  </si>
  <si>
    <t>20</t>
  </si>
  <si>
    <t>Sorter</t>
  </si>
  <si>
    <t>OCR ID 오인식 또는 Lot 혼입(ID Mismatch/Lot Mix)</t>
  </si>
  <si>
    <t>Sorter 장비</t>
  </si>
  <si>
    <t>인식 정확도(Recognition Rate, %) 부적합</t>
  </si>
  <si>
    <t>P:센서 교정(Calibration) 주기 관리</t>
  </si>
  <si>
    <t>D:OCR Reader 자동 인식 확인, Sorter 장비 정렬 센서 검증</t>
  </si>
  <si>
    <t>auto-PF-L3-020-MC-001-C-002-FC</t>
  </si>
  <si>
    <t>PF-L2-020-M-001</t>
  </si>
  <si>
    <t>PF-L1-YP-003-003-003</t>
  </si>
  <si>
    <t>PF-L3-020-MC-001-C-002-FC</t>
  </si>
  <si>
    <t>OCR Reader가 Wafer ID를 자동 인식하여 Lot 추적성을 제공한다 부적합</t>
  </si>
  <si>
    <t>01bc2fa9-a953-4080-8048-98532c099361</t>
  </si>
  <si>
    <t>PF-L3-020-MC-001-G-002-FC</t>
  </si>
  <si>
    <t>정렬 센서 오작동</t>
  </si>
  <si>
    <t xml:space="preserve">P:Sorter 장비 정기 PM, 정렬 센서 교정
센서 교정(Calibration) 주기 관리</t>
  </si>
  <si>
    <t>PF-FC-020-M001-MC001-K001</t>
  </si>
  <si>
    <t>PF-L3-020-MC-001-K-001</t>
  </si>
  <si>
    <t>OCR Reader</t>
  </si>
  <si>
    <t>OCR 인식 오류</t>
  </si>
  <si>
    <t xml:space="preserve">P:OCR Reader 정기 교정, 인식률 일일 확인
예방유지보전(PM)</t>
  </si>
  <si>
    <t>PF-FC-020-M001-MC001-K002</t>
  </si>
  <si>
    <t>PF-L3-020-MC-001-K-002</t>
  </si>
  <si>
    <t>Sorter 작업자</t>
  </si>
  <si>
    <t xml:space="preserve">P:Sorter 작업 표준 교육, 인증 후 투입
작업자 교육/숙련도 평가 실시</t>
  </si>
  <si>
    <t xml:space="preserve">D:OCR Reader 자동 인식 확인, Sorter 장비 정렬 센서 검증
육안 검사, 외관 확인, 매 LOT</t>
  </si>
  <si>
    <t>H</t>
  </si>
  <si>
    <t>PF-FC-020-M001-MN001-K001</t>
  </si>
  <si>
    <t>PF-L3-020-MN-001-K-001</t>
  </si>
  <si>
    <t>전기적 Open/Short</t>
  </si>
  <si>
    <t>Wafer 정렬 불량</t>
  </si>
  <si>
    <t>Sorter 작업영역</t>
  </si>
  <si>
    <t xml:space="preserve">P:Sorter 작업영역 ESD 매트·손목 스트랩 점검
보관 조건(온습도) 관리</t>
  </si>
  <si>
    <t>PF-FC-020-M002-EN001-K001</t>
  </si>
  <si>
    <t>PF-L2-020-M-002</t>
  </si>
  <si>
    <t>PF-L1-YP-003-004-004</t>
  </si>
  <si>
    <t>PF-L3-020-EN-001-K-001</t>
  </si>
  <si>
    <t>Wafer Cassette</t>
  </si>
  <si>
    <t xml:space="preserve">P:Wafer Cassette 이상 유무 입고 검사
수입품질 관리(IQC), 자재 성적서(COC) 확인</t>
  </si>
  <si>
    <t>PF-FC-020-M002-IM001-K001</t>
  </si>
  <si>
    <t>PF-L3-020-IM-001-K-001</t>
  </si>
  <si>
    <t>Bump Lift-off</t>
  </si>
  <si>
    <t>30</t>
  </si>
  <si>
    <t>Scrubber</t>
  </si>
  <si>
    <t>Wafer 표면 이물 잔류(Particle 오염)</t>
  </si>
  <si>
    <t>Scrubber 작업영역</t>
  </si>
  <si>
    <t xml:space="preserve">P:Scrubber 작업영역 청정도 정기 모니터링
보관 조건(온습도) 관리</t>
  </si>
  <si>
    <t>D:Particle Counter 세정 후 파티클 측정, 매 Lot</t>
  </si>
  <si>
    <t>PF-FC-030-M001-EN001-K001</t>
  </si>
  <si>
    <t>PF-L2-030-M-001</t>
  </si>
  <si>
    <t>PF-L1-YP-003-005-005</t>
  </si>
  <si>
    <t>PF-L3-030-EN-001-K-001</t>
  </si>
  <si>
    <t>DI Water</t>
  </si>
  <si>
    <t>DI Water 비저항 저하</t>
  </si>
  <si>
    <t xml:space="preserve">P:DI Water 비저항 일일 측정, 기준 미달 시 교체
수입품질 관리(IQC), 자재 성적서(COC) 확인</t>
  </si>
  <si>
    <t>PF-FC-030-M001-IM001-K001</t>
  </si>
  <si>
    <t>PF-L3-030-IM-001-K-001</t>
  </si>
  <si>
    <t>Scrubber 장비</t>
  </si>
  <si>
    <t>노즐 막힘</t>
  </si>
  <si>
    <t xml:space="preserve">P:Scrubber 장비 정기 PM, 노즐 주기 점검
도포량 정량 관리 (중량 체크)</t>
  </si>
  <si>
    <t>PF-FC-030-M001-MC001-K001</t>
  </si>
  <si>
    <t>PF-L3-030-MC-001-K-001</t>
  </si>
  <si>
    <t>Scrubber 작업자</t>
  </si>
  <si>
    <t xml:space="preserve">P:Scrubber 작업 표준 교육, 인증 후 투입
작업자 교육/숙련도 평가 실시</t>
  </si>
  <si>
    <t xml:space="preserve">D:Particle Counter 세정 후 파티클 측정, 매 Lot
비전검사, 매 LOT</t>
  </si>
  <si>
    <t>PF-FC-030-M001-MN001-K001</t>
  </si>
  <si>
    <t>PF-L3-030-MN-001-K-001</t>
  </si>
  <si>
    <t>Bump간 Bridge</t>
  </si>
  <si>
    <t>40</t>
  </si>
  <si>
    <t>UBM Sputter</t>
  </si>
  <si>
    <t>막질 불균일(Film Non-uniformity)</t>
  </si>
  <si>
    <t>진공 챔버</t>
  </si>
  <si>
    <t>진공 누설</t>
  </si>
  <si>
    <t>P:진공 챔버 기밀 점검, 진공도 실시간 인터록</t>
  </si>
  <si>
    <t>D:4-Point Probe 두께 측정, SEM 단면 분석(샘플링)</t>
  </si>
  <si>
    <t>PF-FC-040-M002-EN001-K001</t>
  </si>
  <si>
    <t>PF-L2-040-M-002</t>
  </si>
  <si>
    <t>PF-L1-YP-003-007-007</t>
  </si>
  <si>
    <t>PF-L3-040-EN-001-K-001</t>
  </si>
  <si>
    <t>Cu Target</t>
  </si>
  <si>
    <t>Target 소진</t>
  </si>
  <si>
    <t xml:space="preserve">P:Ti Target 잔량 자동 모니터링, 소진 임박 알람
P:Cu Target 잔량 자동 모니터링, 소진 임박 알람
작업자 교육/숙련도 평가 실시
예방유지보전(PM)
P:Ti Target 잔량 자동 모니터링, 소진 임박 알람
P:Cu Target 잔량 자동 모니터링, 소진 임박 알람</t>
  </si>
  <si>
    <t xml:space="preserve">D:4-Point Probe 두께 측정, SEM 단면 분석(샘플링)
치수측정기</t>
  </si>
  <si>
    <t>PF-FC-040-M002-IM001-K001</t>
  </si>
  <si>
    <t>PF-L3-040-IM-001-K-001</t>
  </si>
  <si>
    <t>Sputter 장비</t>
  </si>
  <si>
    <t>TiW 증착 두께 편차</t>
  </si>
  <si>
    <t>P:Au 증착 두께 인라인 모니터링, 정기 PM</t>
  </si>
  <si>
    <t>PF-FC-040-M002-MC001-K004</t>
  </si>
  <si>
    <t>PF-L3-040-MC-001-K-004</t>
  </si>
  <si>
    <t>Au 증착 두께 편차</t>
  </si>
  <si>
    <t>PF-FC-040-M002-MC001-K005</t>
  </si>
  <si>
    <t>PF-L3-040-MC-001-K-005</t>
  </si>
  <si>
    <t>UBM 두께 부족(Thickness Under Spec)</t>
  </si>
  <si>
    <t>Ti Target</t>
  </si>
  <si>
    <t>Target 두께 잔량(Remaining Thickness, mm) 부적합</t>
  </si>
  <si>
    <t>auto-PF-L3-040-IM-001-C-001-FC</t>
  </si>
  <si>
    <t>PF-L2-040-M-001</t>
  </si>
  <si>
    <t>PF-L3-040-IM-001-C-001-FC</t>
  </si>
  <si>
    <t>Cu Target이 스퍼터링 소재를 공급하여 Cu 박막 형성을 지원한다 부적합</t>
  </si>
  <si>
    <t>P:수입품질 관리(IQC), 자재 성적서(COC) 확인</t>
  </si>
  <si>
    <t>D:치수측정기</t>
  </si>
  <si>
    <t>5433f5bd-ab63-4c4b-a589-8e570a993ede</t>
  </si>
  <si>
    <t>PF-L3-040-IM-001-G-002-FC</t>
  </si>
  <si>
    <t xml:space="preserve">P:Ti Target 잔량 자동 모니터링, 소진 임박 알람
P:Cu Target 잔량 자동 모니터링, 소진 임박 알람
작업자 교육/숙련도 평가 실시
예방유지보전(PM)</t>
  </si>
  <si>
    <t>PF-FC-040-M001-IM001-K001</t>
  </si>
  <si>
    <t>Power 변동</t>
  </si>
  <si>
    <t xml:space="preserve">P:Sputter 장비 정기 PM, Power 실시간 모니터링
작업표준서(WI) 개정</t>
  </si>
  <si>
    <t>PF-FC-040-M001-MC001-K001</t>
  </si>
  <si>
    <t>PF-L3-040-MC-001-K-001</t>
  </si>
  <si>
    <t>전압 변동</t>
  </si>
  <si>
    <t>P:DC Power Supply 전압 안정도 정기 교정</t>
  </si>
  <si>
    <t>PF-FC-040-M001-MC001-K002</t>
  </si>
  <si>
    <t>PF-L3-040-MC-001-K-002</t>
  </si>
  <si>
    <t>RF Etch Amount 규격 이탈</t>
  </si>
  <si>
    <t>PF-FC-040-M001-MC001-K003</t>
  </si>
  <si>
    <t>PF-L3-040-MC-001-K-003</t>
  </si>
  <si>
    <t>전압 안정도(Voltage Stability, V) 부적합</t>
  </si>
  <si>
    <t>auto-PF-L3-040-MC-001-C-006-FC</t>
  </si>
  <si>
    <t>PF-L3-040-MC-001-C-006-FC</t>
  </si>
  <si>
    <t>DC Power Supply</t>
  </si>
  <si>
    <t>PF-FC-040-M001-MC001-K006</t>
  </si>
  <si>
    <t>PF-L3-040-MC-001-K-006</t>
  </si>
  <si>
    <t>DC Power Supply가 안정적인 전력을 공급하여 Sputter 출력을 유지한다 부적합</t>
  </si>
  <si>
    <t>f96d4ec2-2a03-4c7b-9245-53b5aacc1073</t>
  </si>
  <si>
    <t>PF-L3-040-MC-001-G-002-FC</t>
  </si>
  <si>
    <t>Sputter 작업자</t>
  </si>
  <si>
    <t xml:space="preserve">P:Sputter Recipe 승인제도, 작업 표준 교육
수입품질 관리(IQC), 자재 성적서(COC) 확인</t>
  </si>
  <si>
    <t>PF-FC-040-M001-MN001-K001</t>
  </si>
  <si>
    <t>PF-L3-040-MN-001-K-001</t>
  </si>
  <si>
    <t>CD Spec Out으로 인한 Bump 형성 불량</t>
  </si>
  <si>
    <t>50</t>
  </si>
  <si>
    <t>Scrubber2</t>
  </si>
  <si>
    <t>Scrubber2 작업영역</t>
  </si>
  <si>
    <t xml:space="preserve">P:Scrubber2 작업영역 청정도 정기 모니터링
보관 조건(온습도) 관리</t>
  </si>
  <si>
    <t>PF-FC-050-M001-EN001-K001</t>
  </si>
  <si>
    <t>PF-L2-050-M-001</t>
  </si>
  <si>
    <t>PF-L1-YP-003-008-008</t>
  </si>
  <si>
    <t>PF-L3-050-EN-001-K-001</t>
  </si>
  <si>
    <t>PF-FC-050-M001-IM001-K001</t>
  </si>
  <si>
    <t>PF-L3-050-IM-001-K-001</t>
  </si>
  <si>
    <t>PF-FC-050-M001-MC001-K001</t>
  </si>
  <si>
    <t>PF-L3-050-MC-001-K-001</t>
  </si>
  <si>
    <t>Scrubber2 작업자</t>
  </si>
  <si>
    <t xml:space="preserve">P:Scrubber2 작업 표준 교육, 인증 후 투입
작업자 교육/숙련도 평가 실시</t>
  </si>
  <si>
    <t>PF-FC-050-M001-MN001-K001</t>
  </si>
  <si>
    <t>PF-L3-050-MN-001-K-001</t>
  </si>
  <si>
    <t>PR Scum 잔류로 인한 Au Bump 형성 불량</t>
  </si>
  <si>
    <t>60</t>
  </si>
  <si>
    <t>PR Coating</t>
  </si>
  <si>
    <t>PR 두께 불균일(PR Thickness Non-uniformity)</t>
  </si>
  <si>
    <t>Yellow Room</t>
  </si>
  <si>
    <t xml:space="preserve">P:Yellow Room UV 조도 정기 점검, 기준 초과 시 알람
보관 조건(온습도) 관리</t>
  </si>
  <si>
    <t>D:α-step/Ellipsometer PR 두께 측정, 매 Lot</t>
  </si>
  <si>
    <t>PF-FC-060-M001-EN001-K001</t>
  </si>
  <si>
    <t>PF-L2-060-M-001</t>
  </si>
  <si>
    <t>PF-L1-YP-003-008-009</t>
  </si>
  <si>
    <t>PF-L3-060-EN-001-K-001</t>
  </si>
  <si>
    <t>PR(Photo Resist)</t>
  </si>
  <si>
    <t>PR 열화</t>
  </si>
  <si>
    <t xml:space="preserve">P:PR 보관 온도·유효기간 관리, 입고 검사
소모품 교체주기 설정 및 관리</t>
  </si>
  <si>
    <t>PF-FC-060-M001-IM001-K001</t>
  </si>
  <si>
    <t>PF-L3-060-IM-001-K-001</t>
  </si>
  <si>
    <t>Coater</t>
  </si>
  <si>
    <t>RPM 편차</t>
  </si>
  <si>
    <t xml:space="preserve">P:Coater 정기 PM, RPM 교정 및 모니터링
예방유지보전(PM)</t>
  </si>
  <si>
    <t>PF-FC-060-M001-MC001-K001</t>
  </si>
  <si>
    <t>PF-L3-060-MC-001-K-001</t>
  </si>
  <si>
    <t>Coating 작업자</t>
  </si>
  <si>
    <t xml:space="preserve">P:Coater Recipe 승인제도, 작업 표준 교육
작업자 교육/숙련도 평가 실시</t>
  </si>
  <si>
    <t xml:space="preserve">D:α-step/Ellipsometer PR 두께 측정, 매 Lot
치수측정기</t>
  </si>
  <si>
    <t>PF-FC-060-M001-MN001-K001</t>
  </si>
  <si>
    <t>PF-L3-060-MN-001-K-001</t>
  </si>
  <si>
    <t>Bump Height Spec Out으로 인한 제품 특성 이상</t>
  </si>
  <si>
    <t>70</t>
  </si>
  <si>
    <t>Exposure</t>
  </si>
  <si>
    <t>CD 규격 이탈(CD Out of Spec)</t>
  </si>
  <si>
    <t>Exposure 챔버</t>
  </si>
  <si>
    <t xml:space="preserve">P:Exposure 챔버 온습도·진동 정기 점검
보관 조건(온습도) 관리</t>
  </si>
  <si>
    <t>D:CD-SEM CD 측정, 매 Lot 샘플링</t>
  </si>
  <si>
    <t>PF-FC-070-M001-EN001-K001</t>
  </si>
  <si>
    <t>PF-L2-070-M-001</t>
  </si>
  <si>
    <t>PF-L1-YP-003-008-010</t>
  </si>
  <si>
    <t>PF-L3-070-EN-001-K-001</t>
  </si>
  <si>
    <t>Mask(Reticle)</t>
  </si>
  <si>
    <t>Mask 결함</t>
  </si>
  <si>
    <t xml:space="preserve">P:Mask 이물·손상 입고 검사, 보관 기준 관리
수입품질 관리(IQC), 자재 성적서(COC) 확인</t>
  </si>
  <si>
    <t>PF-FC-070-M001-IM001-K001</t>
  </si>
  <si>
    <t>PF-L3-070-IM-001-K-001</t>
  </si>
  <si>
    <t>Stepper/Scanner</t>
  </si>
  <si>
    <t>에너지 편차</t>
  </si>
  <si>
    <t xml:space="preserve">P:Stepper/Scanner 광원 에너지 정기 교정, PM
예방유지보전(PM)</t>
  </si>
  <si>
    <t>PF-FC-070-M001-MC001-K001</t>
  </si>
  <si>
    <t>PF-L3-070-MC-001-K-001</t>
  </si>
  <si>
    <t>Exposure 작업자</t>
  </si>
  <si>
    <t xml:space="preserve">P:Exposure Recipe 승인제도, Mask 정렬 교육
작업자 교육/숙련도 평가 실시</t>
  </si>
  <si>
    <t xml:space="preserve">D:CD-SEM CD 측정, 매 Lot 샘플링
바코드 스캐너, 검사, 매 LOT</t>
  </si>
  <si>
    <t>PF-FC-070-M001-MN001-K001</t>
  </si>
  <si>
    <t>PF-L3-070-MN-001-K-001</t>
  </si>
  <si>
    <t>Plating 균일도 Spec Out으로 인한 Bump 특성 이상</t>
  </si>
  <si>
    <t>80</t>
  </si>
  <si>
    <t>Develop</t>
  </si>
  <si>
    <t>Under/Over develop(Opening 불량)</t>
  </si>
  <si>
    <t>Develop 작업영역</t>
  </si>
  <si>
    <t xml:space="preserve">P:Develop 작업영역 온도·습도 모니터링
보관 조건(온습도) 관리</t>
  </si>
  <si>
    <t>D:SEM Opening 치수 측정, 매 Lot 샘플링</t>
  </si>
  <si>
    <t>PF-FC-080-M001-EN001-K001</t>
  </si>
  <si>
    <t>PF-L2-080-M-001</t>
  </si>
  <si>
    <t>PF-L1-YP-003-008-011</t>
  </si>
  <si>
    <t>PF-L3-080-EN-001-K-001</t>
  </si>
  <si>
    <t>현상액(TMAH)</t>
  </si>
  <si>
    <t>농도 편차</t>
  </si>
  <si>
    <t xml:space="preserve">P:현상액 농도 정기 측정, 기준 이탈 시 교체
수입품질 관리(IQC), 자재 성적서(COC) 확인</t>
  </si>
  <si>
    <t>PF-FC-080-M001-IM001-K001</t>
  </si>
  <si>
    <t>PF-L3-080-IM-001-K-001</t>
  </si>
  <si>
    <t>Developer</t>
  </si>
  <si>
    <t>현상 시간 편차</t>
  </si>
  <si>
    <t xml:space="preserve">P:Developer 현상 시간 자동 제어, PM 정기 실시
예방유지보전(PM)</t>
  </si>
  <si>
    <t>PF-FC-080-M001-MC001-K001</t>
  </si>
  <si>
    <t>PF-L3-080-MC-001-K-001</t>
  </si>
  <si>
    <t>Develop 작업자</t>
  </si>
  <si>
    <t xml:space="preserve">P:Develop Recipe 승인제도, 작업 표준 교육
작업자 교육/숙련도 평가 실시</t>
  </si>
  <si>
    <t xml:space="preserve">D:SEM Opening 치수 측정, 매 Lot 샘플링
육안 검사, 외관 확인, 매 LOT</t>
  </si>
  <si>
    <t>PF-FC-080-M001-MN001-K001</t>
  </si>
  <si>
    <t>PF-L3-080-MN-001-K-001</t>
  </si>
  <si>
    <t>SP</t>
  </si>
  <si>
    <t>IMC 과성장에 의한 접합부 열화</t>
  </si>
  <si>
    <t>90</t>
  </si>
  <si>
    <t>Descum</t>
  </si>
  <si>
    <t>PR Scum 잔류(Descum 불완전)</t>
  </si>
  <si>
    <t>Descum 챔버</t>
  </si>
  <si>
    <t xml:space="preserve">P:Descum 챔버 기밀 및 균일도 정기 점검
보관 조건(온습도) 관리</t>
  </si>
  <si>
    <t>D:SEM Scum 유무 확인, 매 Lot 샘플링</t>
  </si>
  <si>
    <t>PF-FC-090-M001-EN001-K001</t>
  </si>
  <si>
    <t>PF-L2-090-M-001</t>
  </si>
  <si>
    <t>PF-L1-SP-002-001-001</t>
  </si>
  <si>
    <t>PF-L3-090-EN-001-K-001</t>
  </si>
  <si>
    <t>O₂ Gas</t>
  </si>
  <si>
    <t>Gas 유량 편차</t>
  </si>
  <si>
    <t xml:space="preserve">P:O₂ Gas 유량 자동 제어, 기준 이탈 시 인터록
수입품질 관리(IQC), 자재 성적서(COC) 확인</t>
  </si>
  <si>
    <t>PF-FC-090-M001-IM001-K001</t>
  </si>
  <si>
    <t>PF-L3-090-IM-001-K-001</t>
  </si>
  <si>
    <t>Descum 장비</t>
  </si>
  <si>
    <t>Power 불안정</t>
  </si>
  <si>
    <t xml:space="preserve">P:Descum 장비 Power 안정도 정기 교정, PM
예방유지보전(PM)</t>
  </si>
  <si>
    <t>PF-FC-090-M001-MC001-K001</t>
  </si>
  <si>
    <t>PF-L3-090-MC-001-K-001</t>
  </si>
  <si>
    <t>Descum 작업자</t>
  </si>
  <si>
    <t xml:space="preserve">P:Descum Recipe 승인제도, 작업 표준 교육
작업자 교육/숙련도 평가 실시</t>
  </si>
  <si>
    <t xml:space="preserve">D:SEM Scum 유무 확인, 매 Lot 샘플링
육안 검사, 외관 확인, 매 LOT</t>
  </si>
  <si>
    <t>PF-FC-090-M001-MN001-K001</t>
  </si>
  <si>
    <t>PF-L3-090-MN-001-K-001</t>
  </si>
  <si>
    <t>라벨 불일치로 인한 Lot 혼입 불량 유출</t>
  </si>
  <si>
    <t>100</t>
  </si>
  <si>
    <t>Au Plating</t>
  </si>
  <si>
    <t>Au 순도 저하(Purity Degradation)</t>
  </si>
  <si>
    <t>Plating 작업영역</t>
  </si>
  <si>
    <t>P:Plating 작업영역 온도·습도 정기 모니터링</t>
  </si>
  <si>
    <t>D:높이 측정기 전수 높이 측정, XRF 순도 분석(샘플링)</t>
  </si>
  <si>
    <t>PF-FC-100-M002-EN001-K001</t>
  </si>
  <si>
    <t>PF-L2-100-M-002</t>
  </si>
  <si>
    <t>PF-L1-SP-002-003-003</t>
  </si>
  <si>
    <t>PF-L3-100-EN-001-K-001</t>
  </si>
  <si>
    <t>Au 도금액(Au Ion Solution)</t>
  </si>
  <si>
    <t>농도 저하</t>
  </si>
  <si>
    <t>P:Au 도금액 Au 이온 농도 정기 분석, 기준 이탈 시 보충</t>
  </si>
  <si>
    <t>PF-FC-100-M002-IM001-K001</t>
  </si>
  <si>
    <t>PF-L3-100-IM-001-K-001</t>
  </si>
  <si>
    <t>Au Plating Tank</t>
  </si>
  <si>
    <t>도금 균일도 편차</t>
  </si>
  <si>
    <t xml:space="preserve">P:Au Plating Tank 정기 PM, 전류밀도 실시간 모니터링
보관 조건(온습도) 관리</t>
  </si>
  <si>
    <t>PF-FC-100-M002-MC001-K003</t>
  </si>
  <si>
    <t>PF-L3-100-MC-001-K-003</t>
  </si>
  <si>
    <t>Particle 오염 불량 유출로 인한 고객 기능 이상</t>
  </si>
  <si>
    <t>Au Bump 높이 편차(Height Variation)</t>
  </si>
  <si>
    <t>출력 전류(Output Current, A) 부적합</t>
  </si>
  <si>
    <t xml:space="preserve">P:Au Plating Tank 정기 PM, 전류밀도 실시간 모니터링
예방유지보전(PM)</t>
  </si>
  <si>
    <t>auto-PF-L3-100-MC-001-C-004-FC</t>
  </si>
  <si>
    <t>PF-L2-100-M-001</t>
  </si>
  <si>
    <t>PF-L1-SP-002-002-002</t>
  </si>
  <si>
    <t>PF-L3-100-MC-001-C-004-FC</t>
  </si>
  <si>
    <t>전류밀도 편차</t>
  </si>
  <si>
    <t>PF-FC-100-M001-MC001-K001</t>
  </si>
  <si>
    <t>PF-L3-100-MC-001-K-001</t>
  </si>
  <si>
    <t>전류 변동</t>
  </si>
  <si>
    <t xml:space="preserve">P:정류기(Rectifier) 정기 교정, 출력 전류 모니터링
수입품질 관리(IQC), 자재 성적서(COC) 확인</t>
  </si>
  <si>
    <t>PF-FC-100-M001-MC001-K002</t>
  </si>
  <si>
    <t>PF-L3-100-MC-001-K-002</t>
  </si>
  <si>
    <t>정류기(Rectifier)</t>
  </si>
  <si>
    <t>P:도금 균일도 SPC 관리, 정기 전류 분포 측정</t>
  </si>
  <si>
    <t>PF-FC-100-M001-MC001-K004</t>
  </si>
  <si>
    <t>PF-L3-100-MC-001-K-004</t>
  </si>
  <si>
    <t>정류기(Rectifier)가 안정적인 직류 전류를 공급하여 도금 전류밀도를 유지한다 부적합</t>
  </si>
  <si>
    <t>ec21d651-1d92-4cdf-baf9-c72d541b62f1</t>
  </si>
  <si>
    <t>PF-L3-100-MC-001-G-002-FC</t>
  </si>
  <si>
    <t>Plating 작업자</t>
  </si>
  <si>
    <t xml:space="preserve">P:도금 Recipe 승인제도, 전류밀도 설정 교육
작업자 교육/숙련도 평가 실시</t>
  </si>
  <si>
    <t xml:space="preserve">D:높이 측정기 전수 높이 측정, XRF 순도 분석(샘플링)
치수측정기</t>
  </si>
  <si>
    <t>PF-FC-100-M001-MN001-K001</t>
  </si>
  <si>
    <t>PF-L3-100-MN-001-K-001</t>
  </si>
  <si>
    <t>외관 결함 불량 유출(고객 Outgoing Defect)</t>
  </si>
  <si>
    <t>110</t>
  </si>
  <si>
    <t>PR Strip</t>
  </si>
  <si>
    <t>PR 잔사 잔류(Strip 불완전)</t>
  </si>
  <si>
    <t>Strip 작업영역</t>
  </si>
  <si>
    <t xml:space="preserve">P:Strip 작업영역 환기 상태 정기 점검
보관 조건(온습도) 관리</t>
  </si>
  <si>
    <t>D:SEM PR 잔사 확인, 매 Lot 샘플링</t>
  </si>
  <si>
    <t>PF-FC-110-M001-EN001-K001</t>
  </si>
  <si>
    <t>PF-L2-110-M-001</t>
  </si>
  <si>
    <t>PF-L1-SP-002-004-004</t>
  </si>
  <si>
    <t>PF-L3-110-EN-001-K-001</t>
  </si>
  <si>
    <t>Strip 용제</t>
  </si>
  <si>
    <t xml:space="preserve">P:Strip 용제 농도 정기 측정, 기준 이탈 시 교체
수입품질 관리(IQC), 자재 성적서(COC) 확인</t>
  </si>
  <si>
    <t>PF-FC-110-M001-IM001-K001</t>
  </si>
  <si>
    <t>PF-L3-110-IM-001-K-001</t>
  </si>
  <si>
    <t>Strip 장비</t>
  </si>
  <si>
    <t>온도 편차</t>
  </si>
  <si>
    <t xml:space="preserve">P:Strip 장비 온도 교정, 정기 PM
온도 프로파일 정기 확인, 작업표준서 준수</t>
  </si>
  <si>
    <t>PF-FC-110-M001-MC001-K001</t>
  </si>
  <si>
    <t>PF-L3-110-MC-001-K-001</t>
  </si>
  <si>
    <t>Strip 작업자</t>
  </si>
  <si>
    <t xml:space="preserve">P:Strip Recipe 승인제도, 온도 설정 교육
작업자 교육/숙련도 평가 실시</t>
  </si>
  <si>
    <t xml:space="preserve">D:SEM PR 잔사 확인, 매 Lot 샘플링
육안 검사, 외관 확인, 매 LOT</t>
  </si>
  <si>
    <t>PF-FC-110-M001-MN001-K001</t>
  </si>
  <si>
    <t>PF-L3-110-MN-001-K-001</t>
  </si>
  <si>
    <t>고객 Packing 기준 부적합으로 인한 납품 Reject</t>
  </si>
  <si>
    <t>120</t>
  </si>
  <si>
    <t>Au Etch</t>
  </si>
  <si>
    <t>에칭 부족/과다(Under/Over Etch)</t>
  </si>
  <si>
    <t>Etch 작업영역</t>
  </si>
  <si>
    <t>P:Etch 작업영역 환기 및 약액 안전 정기 점검</t>
  </si>
  <si>
    <t>D:SEM 에칭 잔류물 확인, 매 Lot 샘플링</t>
  </si>
  <si>
    <t>PF-FC-120-M001-EN001-K001</t>
  </si>
  <si>
    <t>PF-L2-120-M-001</t>
  </si>
  <si>
    <t>PF-L1-SP-002-005-005</t>
  </si>
  <si>
    <t>PF-L3-120-EN-001-K-001</t>
  </si>
  <si>
    <t>Au Etchant</t>
  </si>
  <si>
    <t>H₂O₂ 농도 편차에 의한 Etch Rate 이탈</t>
  </si>
  <si>
    <t>P:H₂O₂ 농도 정기 측정, 기준 이탈 시 교체</t>
  </si>
  <si>
    <t>PF-FC-120-M001-IM001-K002</t>
  </si>
  <si>
    <t>PF-L3-120-IM-001-K-002</t>
  </si>
  <si>
    <t xml:space="preserve">P:Au Etchant 농도 정기 측정, 기준 이탈 시 교체
보관 조건(온습도) 관리</t>
  </si>
  <si>
    <t>PF-FC-120-M001-IM001-K001</t>
  </si>
  <si>
    <t>PF-L3-120-IM-001-K-001</t>
  </si>
  <si>
    <t>Au Etch 장비</t>
  </si>
  <si>
    <t>에칭 시간 편차</t>
  </si>
  <si>
    <t xml:space="preserve">P:Au Etch 장비 식각 시간 자동 제어, 정기 PM
예방유지보전(PM)</t>
  </si>
  <si>
    <t>PF-FC-120-M001-MC001-K001</t>
  </si>
  <si>
    <t>PF-L3-120-MC-001-K-001</t>
  </si>
  <si>
    <t>Au Etch Rate 편차</t>
  </si>
  <si>
    <t xml:space="preserve">P:Au Etch Rate 정기 모니터링, 교정
수입품질 관리(IQC), 자재 성적서(COC) 확인</t>
  </si>
  <si>
    <t>PF-FC-120-M001-MC001-K002</t>
  </si>
  <si>
    <t>PF-L3-120-MC-001-K-002</t>
  </si>
  <si>
    <t>Au Etch 작업자</t>
  </si>
  <si>
    <t xml:space="preserve">P:Au Etch Recipe 승인제도, 작업 표준 교육
작업자 교육/숙련도 평가 실시</t>
  </si>
  <si>
    <t xml:space="preserve">D:SEM 에칭 잔류물 확인, 매 Lot 샘플링
육안 검사, 외관 확인, 매 LOT</t>
  </si>
  <si>
    <t>PF-FC-120-M001-MN001-K001</t>
  </si>
  <si>
    <t>PF-L3-120-MN-001-K-001</t>
  </si>
  <si>
    <t>IMC 두께 Spec Out으로 인한 접합부 신뢰성 저하</t>
  </si>
  <si>
    <t>130</t>
  </si>
  <si>
    <t>TiW Etch</t>
  </si>
  <si>
    <t>TiW Etch 후 잔류 Film 이상(Under/Over etch)</t>
  </si>
  <si>
    <t>TiW Etch 작업영역</t>
  </si>
  <si>
    <t>P:TiW Etch 작업영역 환기 및 약액 안전 정기 점검</t>
  </si>
  <si>
    <t>D:SEM Seed 잔류물 확인, 매 Lot 샘플링</t>
  </si>
  <si>
    <t>PF-FC-130-M001-EN001-K001</t>
  </si>
  <si>
    <t>PF-L2-130-M-001</t>
  </si>
  <si>
    <t>PF-L1-SP-002-006-006</t>
  </si>
  <si>
    <t>PF-L3-130-EN-001-K-001</t>
  </si>
  <si>
    <t>TiW Etchant</t>
  </si>
  <si>
    <t xml:space="preserve">P:TiW Etchant 농도 정기 측정, 기준 이탈 시 교체
보관 조건(온습도) 관리</t>
  </si>
  <si>
    <t>PF-FC-130-M001-IM001-K001</t>
  </si>
  <si>
    <t>PF-L3-130-IM-001-K-001</t>
  </si>
  <si>
    <t>TiW Etch 장비</t>
  </si>
  <si>
    <t xml:space="preserve">P:TiW Etch 장비 온도 교정, 정기 PM
온도 프로파일 정기 확인, 작업표준서 준수</t>
  </si>
  <si>
    <t>PF-FC-130-M001-MC001-K001</t>
  </si>
  <si>
    <t>PF-L3-130-MC-001-K-001</t>
  </si>
  <si>
    <t>Etch Rate 편차</t>
  </si>
  <si>
    <t xml:space="preserve">P:Etch Rate 정기 모니터링, 교정
수입품질 관리(IQC), 자재 성적서(COC) 확인</t>
  </si>
  <si>
    <t>PF-FC-130-M001-MC001-K002</t>
  </si>
  <si>
    <t>PF-L3-130-MC-001-K-002</t>
  </si>
  <si>
    <t>TiW Etch 작업자</t>
  </si>
  <si>
    <t xml:space="preserve">P:TiW Etch Recipe 승인제도, 작업 표준 교육
작업자 교육/숙련도 평가 실시</t>
  </si>
  <si>
    <t xml:space="preserve">D:SEM Seed 잔류물 확인, 매 Lot 샘플링
육안 검사, 외관 확인, 매 LOT</t>
  </si>
  <si>
    <t>PF-FC-130-M001-MN001-K001</t>
  </si>
  <si>
    <t>PF-L3-130-MN-001-K-001</t>
  </si>
  <si>
    <t>USER</t>
  </si>
  <si>
    <t>고객 라인 정지, 클레임</t>
  </si>
  <si>
    <t>140</t>
  </si>
  <si>
    <t>Anneal</t>
  </si>
  <si>
    <t>IMC 과성장(IMC Overgrowth)</t>
  </si>
  <si>
    <t>N₂ 공급장치</t>
  </si>
  <si>
    <t>유량 부족</t>
  </si>
  <si>
    <t>P:N₂ 공급장치 유량 모니터링, 기준 이탈 시 알람</t>
  </si>
  <si>
    <t>D:TEM/SEM IMC 두께 분석, 매 Lot 샘플링</t>
  </si>
  <si>
    <t>PF-FC-140-M001-EN001-K001</t>
  </si>
  <si>
    <t>PF-L2-140-M-001</t>
  </si>
  <si>
    <t>PF-L1-US-002-001-001</t>
  </si>
  <si>
    <t>PF-L3-140-EN-001-K-001</t>
  </si>
  <si>
    <t>N₂ Gas</t>
  </si>
  <si>
    <t xml:space="preserve">P:N₂ Gas 유량 자동 제어, 순도 정기 분석
작업표준서(WI) 개정</t>
  </si>
  <si>
    <t>PF-FC-140-M001-IM001-K001</t>
  </si>
  <si>
    <t>PF-L3-140-IM-001-K-001</t>
  </si>
  <si>
    <t>Anneal 장비</t>
  </si>
  <si>
    <t>온도 과다/부족</t>
  </si>
  <si>
    <t xml:space="preserve">P:Anneal 장비 온도 교정, 정기 PM
수입품질 관리(IQC), 자재 성적서(COC) 확인</t>
  </si>
  <si>
    <t>PF-FC-140-M001-MC001-K001</t>
  </si>
  <si>
    <t>PF-L3-140-MC-001-K-001</t>
  </si>
  <si>
    <t>열처리 시간(Anneal Time, min) 부적합</t>
  </si>
  <si>
    <t xml:space="preserve">P:Anneal 장비 온도 교정, 정기 PM
작업자 교육/숙련도 평가 실시</t>
  </si>
  <si>
    <t xml:space="preserve">D:TEM/SEM IMC 두께 분석, 매 Lot 샘플링
육안 검사, 외관 확인, 매 LOT</t>
  </si>
  <si>
    <t>PF-FC-140-M001-MC001-K002</t>
  </si>
  <si>
    <t>PF-L3-140-MC-001-K-002</t>
  </si>
  <si>
    <t>Anneal 작업자</t>
  </si>
  <si>
    <t xml:space="preserve">P:Anneal Recipe 승인제도, 온도·시간 설정 교육
온도 프로파일 정기 확인, 작업표준서 준수</t>
  </si>
  <si>
    <t>PF-FC-140-M001-MN001-K001</t>
  </si>
  <si>
    <t>PF-L3-140-MN-001-K-001</t>
  </si>
  <si>
    <t>RoHS 부적합으로 인한 리콜·법적 조치</t>
  </si>
  <si>
    <t>150</t>
  </si>
  <si>
    <t>Final Inspection</t>
  </si>
  <si>
    <t>Bump 높이 규격 이탈(Height Out of Spec)</t>
  </si>
  <si>
    <t>P:검사실 조도·청정도 정기 점검</t>
  </si>
  <si>
    <t>D:AVI 장비 전수 외관검사, 높이 측정기 전수 높이 측정</t>
  </si>
  <si>
    <t>PF-FC-150-M002-EN001-K001</t>
  </si>
  <si>
    <t>PF-L2-150-M-002</t>
  </si>
  <si>
    <t>PF-L1-US-002-003-003</t>
  </si>
  <si>
    <t>PF-L3-150-EN-001-K-001</t>
  </si>
  <si>
    <t>한도 견본</t>
  </si>
  <si>
    <t>P:한도 견본 정기 최신화, 승인 기준 관리</t>
  </si>
  <si>
    <t>PF-FC-150-M002-IM001-K001</t>
  </si>
  <si>
    <t>PF-L3-150-IM-001-K-001</t>
  </si>
  <si>
    <t>높이 측정기</t>
  </si>
  <si>
    <t>측정 균일도 편차</t>
  </si>
  <si>
    <t xml:space="preserve">P:높이 측정기 Co-planarity 측정 정밀도 정기 교정(MSA)
보관 조건(온습도) 관리</t>
  </si>
  <si>
    <t>PF-FC-150-M002-MC001-K003</t>
  </si>
  <si>
    <t>PF-L3-150-MC-001-K-003</t>
  </si>
  <si>
    <t>고객 신뢰도 하락</t>
  </si>
  <si>
    <t>Bump 외관 불량(Visual Defect)</t>
  </si>
  <si>
    <t xml:space="preserve">P:높이 측정기 정기 교정(MSA), PM 일정 관리
수입품질 관리(IQC), 자재 성적서(COC) 확인</t>
  </si>
  <si>
    <t>PF-FC-150-M001-MC001-K002</t>
  </si>
  <si>
    <t>PF-L2-150-M-001</t>
  </si>
  <si>
    <t>PF-L1-US-002-002-002</t>
  </si>
  <si>
    <t>PF-L3-150-MC-001-K-002</t>
  </si>
  <si>
    <t>AVI 장비</t>
  </si>
  <si>
    <t>측정 정밀도(Accuracy, μm) 부적합</t>
  </si>
  <si>
    <t>auto-PF-L3-150-MC-001-C-002-FC</t>
  </si>
  <si>
    <t>PF-L3-150-MC-001-C-002-FC</t>
  </si>
  <si>
    <t>공간적 균일도 측정 정밀도(Co-planarity Accuracy, μm) 부적합</t>
  </si>
  <si>
    <t>auto-PF-L3-150-MC-001-C-003-FC</t>
  </si>
  <si>
    <t>PF-L3-150-MC-001-C-003-FC</t>
  </si>
  <si>
    <t>해상도 저하</t>
  </si>
  <si>
    <t xml:space="preserve">P:AVI 장비 해상도 정기 교정, 기준 이미지 최신화
예방유지보전(PM)</t>
  </si>
  <si>
    <t>PF-FC-150-M001-MC001-K001</t>
  </si>
  <si>
    <t>PF-L3-150-MC-001-K-001</t>
  </si>
  <si>
    <t>높이 측정기가 Bump 높이를 전수 측정하여 규격 적합 데이터를 제공한다 부적합</t>
  </si>
  <si>
    <t>D:비전검사, 매 LOT</t>
  </si>
  <si>
    <t>e40b9c16-d583-41d7-a4b8-b442d973ed94</t>
  </si>
  <si>
    <t>PF-L3-150-MC-001-G-002-FC</t>
  </si>
  <si>
    <t>Final 검사원</t>
  </si>
  <si>
    <t xml:space="preserve">D:AVI 장비 전수 외관검사, 높이 측정기 전수 높이 측정
비전검사, 매 LOT</t>
  </si>
  <si>
    <t>PF-FC-150-M001-MN001-K001</t>
  </si>
  <si>
    <t>PF-L3-150-MN-001-K-001</t>
  </si>
  <si>
    <t>160</t>
  </si>
  <si>
    <t>Clean</t>
  </si>
  <si>
    <t>Clean 작업영역</t>
  </si>
  <si>
    <t xml:space="preserve">P:Clean 작업영역 청정도 정기 모니터링
보관 조건(온습도) 관리</t>
  </si>
  <si>
    <t>PF-FC-160-M001-EN001-K001</t>
  </si>
  <si>
    <t>PF-L2-160-M-001</t>
  </si>
  <si>
    <t>PF-L3-160-EN-001-K-001</t>
  </si>
  <si>
    <t>PF-FC-160-M001-IM001-K001</t>
  </si>
  <si>
    <t>PF-L3-160-IM-001-K-001</t>
  </si>
  <si>
    <t>Clean 장비</t>
  </si>
  <si>
    <t xml:space="preserve">P:Clean 장비 정기 PM, 노즐 주기 점검
도포량 정량 관리 (중량 체크)</t>
  </si>
  <si>
    <t>PF-FC-160-M001-MC001-K001</t>
  </si>
  <si>
    <t>PF-L3-160-MC-001-K-001</t>
  </si>
  <si>
    <t>Clean 작업자</t>
  </si>
  <si>
    <t xml:space="preserve">P:Clean 작업 표준 교육, 인증 후 투입
작업자 교육/숙련도 평가 실시</t>
  </si>
  <si>
    <t>PF-FC-160-M001-MN001-K001</t>
  </si>
  <si>
    <t>PF-L3-160-MN-001-K-001</t>
  </si>
  <si>
    <t>170</t>
  </si>
  <si>
    <t>Scrubber3</t>
  </si>
  <si>
    <t>Scrubber3 작업영역</t>
  </si>
  <si>
    <t xml:space="preserve">P:Scrubber3 작업영역 청정도 정기 모니터링
보관 조건(온습도) 관리</t>
  </si>
  <si>
    <t>D:Particle Counter 파티클 측정, 출하 전 매 Lot</t>
  </si>
  <si>
    <t>PF-FC-170-M001-EN001-K001</t>
  </si>
  <si>
    <t>PF-L2-170-M-001</t>
  </si>
  <si>
    <t>PF-L3-170-EN-001-K-001</t>
  </si>
  <si>
    <t>PF-FC-170-M001-IM001-K001</t>
  </si>
  <si>
    <t>PF-L3-170-IM-001-K-001</t>
  </si>
  <si>
    <t>PF-FC-170-M001-MC001-K001</t>
  </si>
  <si>
    <t>PF-L3-170-MC-001-K-001</t>
  </si>
  <si>
    <t>Scrubber3 작업자</t>
  </si>
  <si>
    <t xml:space="preserve">P:Scrubber3 작업 표준 교육, 출하 기준 확인
작업자 교육/숙련도 평가 실시</t>
  </si>
  <si>
    <t xml:space="preserve">D:Particle Counter 파티클 측정, 출하 전 매 Lot
비전검사, 매 LOT</t>
  </si>
  <si>
    <t>PF-FC-170-M001-MN001-K001</t>
  </si>
  <si>
    <t>PF-L3-170-MN-001-K-001</t>
  </si>
  <si>
    <t>180</t>
  </si>
  <si>
    <t>Sorter3</t>
  </si>
  <si>
    <t>Sorter3 작업영역</t>
  </si>
  <si>
    <t xml:space="preserve">P:Sorter3 작업영역 ESD 매트·손목 스트랩 점검
보관 조건(온습도) 관리</t>
  </si>
  <si>
    <t>D:Sorter3 정렬 센서 자동 확인, 매 Wafer</t>
  </si>
  <si>
    <t>PF-FC-180-M001-EN001-K001</t>
  </si>
  <si>
    <t>PF-L2-180-M-001</t>
  </si>
  <si>
    <t>PF-L3-180-EN-001-K-001</t>
  </si>
  <si>
    <t>PF-FC-180-M001-IM001-K001</t>
  </si>
  <si>
    <t>PF-L3-180-IM-001-K-001</t>
  </si>
  <si>
    <t>PF-FC-180-M001-MC001-K001</t>
  </si>
  <si>
    <t>PF-L3-180-MC-001-K-001</t>
  </si>
  <si>
    <t>Sorter3 작업자</t>
  </si>
  <si>
    <t xml:space="preserve">P:Sorter3 작업 표준 교육, 인증 후 투입
작업자 교육/숙련도 평가 실시</t>
  </si>
  <si>
    <t xml:space="preserve">D:Sorter3 정렬 센서 자동 확인, 매 Wafer
육안 검사, 외관 확인, 매 LOT</t>
  </si>
  <si>
    <t>PF-FC-180-M001-MN001-K001</t>
  </si>
  <si>
    <t>PF-L3-180-MN-001-K-001</t>
  </si>
  <si>
    <t>190</t>
  </si>
  <si>
    <t>AVI</t>
  </si>
  <si>
    <t>AVI 검사 불량 미검출(Visual Defect Escape)</t>
  </si>
  <si>
    <t>AVI 작업영역</t>
  </si>
  <si>
    <t xml:space="preserve">P:AVI 작업영역 조도·진동 정기 점검
보관 조건(온습도) 관리</t>
  </si>
  <si>
    <t>D:AVI 장비 전수 자동 외관검사, 매 Wafer</t>
  </si>
  <si>
    <t>PF-FC-190-M001-EN001-K001</t>
  </si>
  <si>
    <t>PF-L2-190-M-001</t>
  </si>
  <si>
    <t>PF-L3-190-EN-001-K-001</t>
  </si>
  <si>
    <t xml:space="preserve">P:한도 견본 정기 최신화, 승인 기준 관리
수입품질 관리(IQC), 자재 성적서(COC) 확인</t>
  </si>
  <si>
    <t>PF-FC-190-M001-IM001-K001</t>
  </si>
  <si>
    <t>PF-L3-190-IM-001-K-001</t>
  </si>
  <si>
    <t>PF-FC-190-M001-MC001-K001</t>
  </si>
  <si>
    <t>PF-L3-190-MC-001-K-001</t>
  </si>
  <si>
    <t>AVI 작업자</t>
  </si>
  <si>
    <t xml:space="preserve">P:AVI 결과 검토 교육, 이상 발생 시 에스컬레이션 절차
작업자 교육/숙련도 평가 실시</t>
  </si>
  <si>
    <t xml:space="preserve">D:AVI 장비 전수 자동 외관검사, 매 Wafer
기능검사기, 매 LOT</t>
  </si>
  <si>
    <t>PF-FC-190-M001-MN001-K001</t>
  </si>
  <si>
    <t>PF-L3-190-MN-001-K-001</t>
  </si>
  <si>
    <t>200</t>
  </si>
  <si>
    <t>OGI/Packing</t>
  </si>
  <si>
    <t>포장 불량(Packaging Defect)</t>
  </si>
  <si>
    <t>포장 작업영역</t>
  </si>
  <si>
    <t xml:space="preserve">P:포장 작업영역 청정도 및 ESD 정기 점검
보관 조건(온습도) 관리</t>
  </si>
  <si>
    <t>D:포장 외관 전수 육안검사, 포장재 진공도 검사</t>
  </si>
  <si>
    <t>PF-FC-200-M001-EN001-K001</t>
  </si>
  <si>
    <t>PF-L2-200-M-001</t>
  </si>
  <si>
    <t>PF-L3-200-EN-001-K-001</t>
  </si>
  <si>
    <t>포장재</t>
  </si>
  <si>
    <t xml:space="preserve">P:포장재 입고 검사, 보관 기준 관리
수입품질 관리(IQC), 자재 성적서(COC) 확인</t>
  </si>
  <si>
    <t>PF-FC-200-M001-IM001-K001</t>
  </si>
  <si>
    <t>PF-L3-200-IM-001-K-001</t>
  </si>
  <si>
    <t>포장 장비</t>
  </si>
  <si>
    <t xml:space="preserve">P:포장 장비 진공 압력 정기 점검, PM
예방유지보전(PM)</t>
  </si>
  <si>
    <t>PF-FC-200-M001-MC001-K001</t>
  </si>
  <si>
    <t>PF-L3-200-MC-001-K-001</t>
  </si>
  <si>
    <t>포장 작업자</t>
  </si>
  <si>
    <t>체크리스트 누락</t>
  </si>
  <si>
    <t xml:space="preserve">P:포장 작업자 교육, 포장 체크리스트 표준화
토크 관리 기준 설정</t>
  </si>
  <si>
    <t xml:space="preserve">D:포장 외관 전수 육안검사, 포장재 진공도 검사
바코드 스캐너, 검사, 매 LOT</t>
  </si>
  <si>
    <t>PF-FC-200-M001-MN001-K001</t>
  </si>
  <si>
    <t>PF-L3-200-MN-001-K-001</t>
  </si>
  <si>
    <t>검증 항목</t>
  </si>
  <si>
    <t>검증 공식</t>
  </si>
  <si>
    <t>결과</t>
  </si>
  <si>
    <t>기대값</t>
  </si>
  <si>
    <t>PASS/FAIL</t>
  </si>
  <si>
    <t>총 행수</t>
  </si>
  <si>
    <t>COUNTA(FC_Chain_Data!A2:A119)</t>
  </si>
  <si>
    <t>FE구분 빈칸</t>
  </si>
  <si>
    <t>COUNTBLANK(FC_Chain_Data!B2:B119)</t>
  </si>
  <si>
    <t>FE(고장영향) 빈칸</t>
  </si>
  <si>
    <t>COUNTBLANK(FC_Chain_Data!C2:C119)</t>
  </si>
  <si>
    <t>S(심각도) 0건</t>
  </si>
  <si>
    <t>COUNTIF(FC_Chain_Data!D2:D119,0)</t>
  </si>
  <si>
    <t>공정번호 빈칸</t>
  </si>
  <si>
    <t>COUNTBLANK(FC_Chain_Data!E2:E119)</t>
  </si>
  <si>
    <t>FM(고장형태) 빈칸</t>
  </si>
  <si>
    <t>COUNTBLANK(FC_Chain_Data!G2:G119)</t>
  </si>
  <si>
    <t>4M 빈칸</t>
  </si>
  <si>
    <t>COUNTBLANK(FC_Chain_Data!H2:H119)</t>
  </si>
  <si>
    <t>작업요소 빈칸</t>
  </si>
  <si>
    <t>COUNTBLANK(FC_Chain_Data!I2:I119)</t>
  </si>
  <si>
    <t>FC(고장원인) 빈칸</t>
  </si>
  <si>
    <t>COUNTBLANK(FC_Chain_Data!J2:J119)</t>
  </si>
  <si>
    <t>B5.예방관리 빈칸</t>
  </si>
  <si>
    <t>COUNTBLANK(FC_Chain_Data!K2:K119)</t>
  </si>
  <si>
    <t>A6.검출관리 빈칸</t>
  </si>
  <si>
    <t>COUNTBLANK(FC_Chain_Data!L2:L119)</t>
  </si>
  <si>
    <t>AP 빈칸</t>
  </si>
  <si>
    <t>COUNTBLANK(FC_Chain_Data!O2:O119)</t>
  </si>
  <si>
    <t>LinkID 빈칸</t>
  </si>
  <si>
    <t>COUNTBLANK(FC_Chain_Data!P2:P119)</t>
  </si>
  <si>
    <t>FM_ID 빈칸</t>
  </si>
  <si>
    <t>COUNTBLANK(FC_Chain_Data!Q2:Q119)</t>
  </si>
  <si>
    <t>FE_ID 빈칸</t>
  </si>
  <si>
    <t>COUNTBLANK(FC_Chain_Data!R2:R119)</t>
  </si>
  <si>
    <t>FC_ID 빈칸</t>
  </si>
  <si>
    <t>COUNTBLANK(FC_Chain_Data!S2:S119)</t>
  </si>
  <si>
    <t>FC_ID 고유 수 (1:N 허용)</t>
  </si>
  <si>
    <t>SUMPRODUCT(1/COUNTIF(FC_Chain_Data!S2:S119,FC_Chain_Data!S2:S119))</t>
  </si>
  <si>
    <t>고유 FM 수</t>
  </si>
  <si>
    <t>SUMPRODUCT(1/COUNTIF(FC_Chain_Data!G2:G119,FC_Chain_Data!G2:G119))</t>
  </si>
  <si>
    <t>고유 FE 수</t>
  </si>
  <si>
    <t>SUMPRODUCT(1/COUNTIF(FC_Chain_Data!C2:C119,FC_Chain_Data!C2:C119))</t>
  </si>
  <si>
    <t>고유 공정 수</t>
  </si>
  <si>
    <t>SUMPRODUCT(1/COUNTIF(FC_Chain_Data!E2:E119,FC_Chain_Data!E2:E119))</t>
  </si>
  <si>
    <t>전체 판정</t>
  </si>
  <si>
    <t>공정No</t>
  </si>
  <si>
    <t>기대 FM수</t>
  </si>
  <si>
    <t>실제 FM수 (엑셀함수)</t>
  </si>
  <si>
    <t>기대 FC수</t>
  </si>
  <si>
    <t>실제 FC수 (엑셀함수)</t>
  </si>
  <si>
    <t>FM 판정</t>
  </si>
  <si>
    <t>FC 판정</t>
  </si>
  <si>
    <t>합계</t>
  </si>
  <si>
    <t>공식</t>
  </si>
  <si>
    <t>LinkID 고유 수</t>
  </si>
  <si>
    <t>SUMPRODUCT(1/COUNTIF(FC_Chain_Data!P2:P119,FC_Chain_Data!P2:P119))</t>
  </si>
  <si>
    <t>FM_ID 고유 수</t>
  </si>
  <si>
    <t>SUMPRODUCT(1/COUNTIF(FC_Chain_Data!Q2:Q119,FC_Chain_Data!Q2:Q119))</t>
  </si>
  <si>
    <t>FE_ID 고유 수</t>
  </si>
  <si>
    <t>SUMPRODUCT(1/COUNTIF(FC_Chain_Data!R2:R119,FC_Chain_Data!R2:R119))</t>
  </si>
  <si>
    <t>LinkID 유효 (비어있지 않음)</t>
  </si>
  <si>
    <t>COUNTA(FC_Chain_Data!P2:P119)</t>
  </si>
  <si>
    <t>FM_ID "PF-L2-" 접두사</t>
  </si>
  <si>
    <t>COUNTIF(FC_Chain_Data!Q2:Q119,"PF-L2-*")</t>
  </si>
  <si>
    <t>FE_ID "PF-L1-" 접두사</t>
  </si>
  <si>
    <t>COUNTIF(FC_Chain_Data!R2:R119,"PF-L1-*")</t>
  </si>
  <si>
    <t>FC_ID "PF-L3-" 접두사</t>
  </si>
  <si>
    <t>COUNTIF(FC_Chain_Data!S2:S119,"PF-L3-*")</t>
  </si>
  <si>
    <t>AP H 건수</t>
  </si>
  <si>
    <t>COUNTIF(FC_Chain_Data!O2:O119,"H")</t>
  </si>
  <si>
    <t>AP M 건수</t>
  </si>
  <si>
    <t>COUNTIF(FC_Chain_Data!O2:O119,"M")</t>
  </si>
  <si>
    <t>AP L 건수</t>
  </si>
  <si>
    <t>COUNTIF(FC_Chain_Data!O2:O119,"L")</t>
  </si>
  <si>
    <t>YP FE 건수</t>
  </si>
  <si>
    <t>COUNTIF(FC_Chain_Data!B2:B119,"YP")</t>
  </si>
  <si>
    <t>SP FE 건수</t>
  </si>
  <si>
    <t>COUNTIF(FC_Chain_Data!B2:B119,"SP")</t>
  </si>
  <si>
    <t>USER FE 건수</t>
  </si>
  <si>
    <t>COUNTIF(FC_Chain_Data!B2:B119,"USER")</t>
  </si>
  <si>
    <t>4M=MN 건수</t>
  </si>
  <si>
    <t>COUNTIF(FC_Chain_Data!H2:H119,"MN")</t>
  </si>
  <si>
    <t>4M=MC 건수</t>
  </si>
  <si>
    <t>COUNTIF(FC_Chain_Data!H2:H119,"MC")</t>
  </si>
  <si>
    <t>4M=IM 건수</t>
  </si>
  <si>
    <t>COUNTIF(FC_Chain_Data!H2:H119,"IM")</t>
  </si>
  <si>
    <t>4M=EN 건수</t>
  </si>
  <si>
    <t>COUNTIF(FC_Chain_Data!H2:H119,"EN")</t>
  </si>
  <si>
    <t>pfm26-m069 FC Chain 검증 대시보드</t>
  </si>
  <si>
    <t/>
  </si>
  <si>
    <t>항목</t>
  </si>
  <si>
    <t>값</t>
  </si>
  <si>
    <t>fmeaId</t>
  </si>
  <si>
    <t>pfm26-m069</t>
  </si>
  <si>
    <t>생성일</t>
  </si>
  <si>
    <t>2026-03-18</t>
  </si>
  <si>
    <t>총 FC Chain 수</t>
  </si>
  <si>
    <t>고유 FC 수</t>
  </si>
  <si>
    <t>DC 커버리지</t>
  </si>
  <si>
    <t>100%</t>
  </si>
  <si>
    <t>PC 커버리지</t>
  </si>
  <si>
    <t>검증1 (필드완전성)</t>
  </si>
  <si>
    <t>검증2 (공정별교차)</t>
  </si>
  <si>
    <t>검증3 (FK/UUID)</t>
  </si>
  <si>
    <t>AP 분포</t>
  </si>
  <si>
    <t xml:space="preserve">  H (High)</t>
  </si>
  <si>
    <t xml:space="preserve">  M (Medium)</t>
  </si>
  <si>
    <t xml:space="preserve">  L (Low)</t>
  </si>
  <si>
    <t>FE구분 분포</t>
  </si>
  <si>
    <t xml:space="preserve">  YP</t>
  </si>
  <si>
    <t xml:space="preserve">  SP</t>
  </si>
  <si>
    <t xml:space="preserve">  USER</t>
  </si>
  <si>
    <t>4M 분포</t>
  </si>
  <si>
    <t xml:space="preserve">  MN (Man)</t>
  </si>
  <si>
    <t xml:space="preserve">  MC (Machine)</t>
  </si>
  <si>
    <t xml:space="preserve">  IM (Material)</t>
  </si>
  <si>
    <t xml:space="preserve">  EN (Environment)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</si>
</sst>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FFFFFF"/>
      <sz val="9"/>
    </font>
    <font>
      <b/>
      <sz val="9"/>
    </font>
    <font>
      <b/>
      <sz val="12"/>
    </font>
    <font>
      <b/>
      <sz val="14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4CAF50"/>
      </patternFill>
    </fill>
    <fill>
      <patternFill patternType="solid">
        <fgColor rgb="FFFFA000"/>
      </patternFill>
    </fill>
    <fill>
      <patternFill patternType="solid">
        <fgColor rgb="FFFF0000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1" fillId="6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1" fillId="7" borderId="0" xfId="0" applyFont="1" applyFill="1" applyAlignment="1">
      <alignment horizontal="center"/>
    </xf>
    <xf numFmtId="0" fontId="7" fillId="0" borderId="0" xfId="0" applyFont="1"/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8" customWidth="1"/>
    <col min="3" max="3" width="40" customWidth="1"/>
    <col min="4" max="4" width="8" customWidth="1"/>
    <col min="5" max="5" width="12" customWidth="1"/>
    <col min="6" max="6" width="18" customWidth="1"/>
    <col min="7" max="7" width="35" customWidth="1"/>
    <col min="8" max="8" width="5" customWidth="1"/>
    <col min="9" max="9" width="22" customWidth="1"/>
    <col min="10" max="10" width="30" customWidth="1"/>
    <col min="11" max="12" width="45" customWidth="1"/>
    <col min="13" max="14" width="5" customWidth="1"/>
    <col min="15" max="15" width="6" customWidth="1"/>
    <col min="16" max="17" width="22" customWidth="1"/>
    <col min="18" max="18" width="25" customWidth="1"/>
    <col min="19" max="19" width="28" customWidth="1"/>
  </cols>
  <sheetData>
    <row r="1" ht="36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1</v>
      </c>
      <c r="B2" s="2" t="s">
        <v>19</v>
      </c>
      <c r="C2" s="2" t="s">
        <v>20</v>
      </c>
      <c r="D2" s="2">
        <v>5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>
        <v>3</v>
      </c>
      <c r="N2" s="2">
        <v>8</v>
      </c>
      <c r="O2" s="3" t="s">
        <v>29</v>
      </c>
      <c r="P2" s="2" t="s">
        <v>30</v>
      </c>
      <c r="Q2" s="2" t="s">
        <v>31</v>
      </c>
      <c r="R2" s="2" t="s">
        <v>32</v>
      </c>
      <c r="S2" s="2" t="s">
        <v>33</v>
      </c>
    </row>
    <row r="3" spans="1:19" x14ac:dyDescent="0.25">
      <c r="A3" s="2">
        <v>2</v>
      </c>
      <c r="B3" s="2" t="s">
        <v>19</v>
      </c>
      <c r="C3" s="2" t="s">
        <v>20</v>
      </c>
      <c r="D3" s="2">
        <v>5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34</v>
      </c>
      <c r="K3" s="2" t="s">
        <v>35</v>
      </c>
      <c r="L3" s="2" t="s">
        <v>36</v>
      </c>
      <c r="M3" s="2">
        <v>3</v>
      </c>
      <c r="N3" s="2">
        <v>7</v>
      </c>
      <c r="O3" s="3" t="s">
        <v>29</v>
      </c>
      <c r="P3" s="2" t="s">
        <v>37</v>
      </c>
      <c r="Q3" s="2" t="s">
        <v>31</v>
      </c>
      <c r="R3" s="2" t="s">
        <v>32</v>
      </c>
      <c r="S3" s="2" t="s">
        <v>38</v>
      </c>
    </row>
    <row r="4" spans="1:19" x14ac:dyDescent="0.25">
      <c r="A4" s="2">
        <v>3</v>
      </c>
      <c r="B4" s="2" t="s">
        <v>19</v>
      </c>
      <c r="C4" s="2" t="s">
        <v>20</v>
      </c>
      <c r="D4" s="2">
        <v>5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39</v>
      </c>
      <c r="K4" s="2" t="s">
        <v>40</v>
      </c>
      <c r="L4" s="2" t="s">
        <v>28</v>
      </c>
      <c r="M4" s="2">
        <v>2</v>
      </c>
      <c r="N4" s="2">
        <v>8</v>
      </c>
      <c r="O4" s="3" t="s">
        <v>29</v>
      </c>
      <c r="P4" s="2" t="s">
        <v>41</v>
      </c>
      <c r="Q4" s="2" t="s">
        <v>31</v>
      </c>
      <c r="R4" s="2" t="s">
        <v>32</v>
      </c>
      <c r="S4" s="2" t="s">
        <v>42</v>
      </c>
    </row>
    <row r="5" spans="1:19" x14ac:dyDescent="0.25">
      <c r="A5" s="2">
        <v>4</v>
      </c>
      <c r="B5" s="2" t="s">
        <v>19</v>
      </c>
      <c r="C5" s="2" t="s">
        <v>20</v>
      </c>
      <c r="D5" s="2">
        <v>5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43</v>
      </c>
      <c r="J5" s="2" t="s">
        <v>44</v>
      </c>
      <c r="K5" s="2" t="s">
        <v>45</v>
      </c>
      <c r="L5" s="2" t="s">
        <v>28</v>
      </c>
      <c r="M5" s="2">
        <v>2</v>
      </c>
      <c r="N5" s="2">
        <v>8</v>
      </c>
      <c r="O5" s="3" t="s">
        <v>29</v>
      </c>
      <c r="P5" s="2" t="s">
        <v>46</v>
      </c>
      <c r="Q5" s="2" t="s">
        <v>31</v>
      </c>
      <c r="R5" s="2" t="s">
        <v>32</v>
      </c>
      <c r="S5" s="2" t="s">
        <v>47</v>
      </c>
    </row>
    <row r="6" spans="1:19" x14ac:dyDescent="0.25">
      <c r="A6" s="2">
        <v>5</v>
      </c>
      <c r="B6" s="2" t="s">
        <v>19</v>
      </c>
      <c r="C6" s="2" t="s">
        <v>20</v>
      </c>
      <c r="D6" s="2">
        <v>5</v>
      </c>
      <c r="E6" s="2" t="s">
        <v>21</v>
      </c>
      <c r="F6" s="2" t="s">
        <v>22</v>
      </c>
      <c r="G6" s="2" t="s">
        <v>23</v>
      </c>
      <c r="H6" s="2" t="s">
        <v>48</v>
      </c>
      <c r="I6" s="2" t="s">
        <v>49</v>
      </c>
      <c r="J6" s="2" t="s">
        <v>50</v>
      </c>
      <c r="K6" s="2" t="s">
        <v>51</v>
      </c>
      <c r="L6" s="2" t="s">
        <v>28</v>
      </c>
      <c r="M6" s="2">
        <v>4</v>
      </c>
      <c r="N6" s="2">
        <v>8</v>
      </c>
      <c r="O6" s="4" t="s">
        <v>52</v>
      </c>
      <c r="P6" s="2" t="s">
        <v>53</v>
      </c>
      <c r="Q6" s="2" t="s">
        <v>31</v>
      </c>
      <c r="R6" s="2" t="s">
        <v>32</v>
      </c>
      <c r="S6" s="2" t="s">
        <v>54</v>
      </c>
    </row>
    <row r="7" spans="1:19" x14ac:dyDescent="0.25">
      <c r="A7" s="2">
        <v>6</v>
      </c>
      <c r="B7" s="2" t="s">
        <v>19</v>
      </c>
      <c r="C7" s="2" t="s">
        <v>20</v>
      </c>
      <c r="D7" s="2">
        <v>5</v>
      </c>
      <c r="E7" s="2" t="s">
        <v>21</v>
      </c>
      <c r="F7" s="2" t="s">
        <v>22</v>
      </c>
      <c r="G7" s="2" t="s">
        <v>23</v>
      </c>
      <c r="H7" s="2" t="s">
        <v>55</v>
      </c>
      <c r="I7" s="2" t="s">
        <v>56</v>
      </c>
      <c r="J7" s="2" t="s">
        <v>57</v>
      </c>
      <c r="K7" s="2" t="s">
        <v>58</v>
      </c>
      <c r="L7" s="2" t="s">
        <v>28</v>
      </c>
      <c r="M7" s="2">
        <v>3</v>
      </c>
      <c r="N7" s="2">
        <v>8</v>
      </c>
      <c r="O7" s="3" t="s">
        <v>29</v>
      </c>
      <c r="P7" s="2" t="s">
        <v>59</v>
      </c>
      <c r="Q7" s="2" t="s">
        <v>31</v>
      </c>
      <c r="R7" s="2" t="s">
        <v>32</v>
      </c>
      <c r="S7" s="2" t="s">
        <v>60</v>
      </c>
    </row>
    <row r="8" spans="1:19" x14ac:dyDescent="0.25">
      <c r="A8" s="2">
        <v>7</v>
      </c>
      <c r="B8" s="2" t="s">
        <v>19</v>
      </c>
      <c r="C8" s="2" t="s">
        <v>20</v>
      </c>
      <c r="D8" s="2">
        <v>5</v>
      </c>
      <c r="E8" s="2" t="s">
        <v>21</v>
      </c>
      <c r="F8" s="2" t="s">
        <v>22</v>
      </c>
      <c r="G8" s="2" t="s">
        <v>23</v>
      </c>
      <c r="H8" s="2" t="s">
        <v>55</v>
      </c>
      <c r="I8" s="2" t="s">
        <v>56</v>
      </c>
      <c r="J8" s="2" t="s">
        <v>61</v>
      </c>
      <c r="K8" s="2" t="s">
        <v>62</v>
      </c>
      <c r="L8" s="2" t="s">
        <v>28</v>
      </c>
      <c r="M8" s="2">
        <v>3</v>
      </c>
      <c r="N8" s="2">
        <v>8</v>
      </c>
      <c r="O8" s="3" t="s">
        <v>29</v>
      </c>
      <c r="P8" s="2" t="s">
        <v>63</v>
      </c>
      <c r="Q8" s="2" t="s">
        <v>31</v>
      </c>
      <c r="R8" s="2" t="s">
        <v>32</v>
      </c>
      <c r="S8" s="2" t="s">
        <v>64</v>
      </c>
    </row>
    <row r="9" spans="1:19" x14ac:dyDescent="0.25">
      <c r="A9" s="2">
        <v>8</v>
      </c>
      <c r="B9" s="2" t="s">
        <v>19</v>
      </c>
      <c r="C9" s="2" t="s">
        <v>20</v>
      </c>
      <c r="D9" s="2">
        <v>5</v>
      </c>
      <c r="E9" s="2" t="s">
        <v>21</v>
      </c>
      <c r="F9" s="2" t="s">
        <v>22</v>
      </c>
      <c r="G9" s="2" t="s">
        <v>23</v>
      </c>
      <c r="H9" s="2" t="s">
        <v>65</v>
      </c>
      <c r="I9" s="2" t="s">
        <v>66</v>
      </c>
      <c r="J9" s="2" t="s">
        <v>67</v>
      </c>
      <c r="K9" s="2" t="s">
        <v>27</v>
      </c>
      <c r="L9" s="2" t="s">
        <v>68</v>
      </c>
      <c r="M9" s="2">
        <v>3</v>
      </c>
      <c r="N9" s="2">
        <v>8</v>
      </c>
      <c r="O9" s="3" t="s">
        <v>29</v>
      </c>
      <c r="P9" s="2" t="s">
        <v>69</v>
      </c>
      <c r="Q9" s="2" t="s">
        <v>31</v>
      </c>
      <c r="R9" s="2" t="s">
        <v>32</v>
      </c>
      <c r="S9" s="2" t="s">
        <v>70</v>
      </c>
    </row>
    <row r="10" spans="1:19" x14ac:dyDescent="0.25">
      <c r="A10" s="2">
        <v>9</v>
      </c>
      <c r="B10" s="2" t="s">
        <v>19</v>
      </c>
      <c r="C10" s="2" t="s">
        <v>71</v>
      </c>
      <c r="D10" s="2">
        <v>5</v>
      </c>
      <c r="E10" s="2" t="s">
        <v>72</v>
      </c>
      <c r="F10" s="2" t="s">
        <v>73</v>
      </c>
      <c r="G10" s="2" t="s">
        <v>74</v>
      </c>
      <c r="H10" s="2" t="s">
        <v>55</v>
      </c>
      <c r="I10" s="2" t="s">
        <v>75</v>
      </c>
      <c r="J10" s="2" t="s">
        <v>76</v>
      </c>
      <c r="K10" s="2" t="s">
        <v>77</v>
      </c>
      <c r="L10" s="2" t="s">
        <v>78</v>
      </c>
      <c r="M10" s="2">
        <v>4</v>
      </c>
      <c r="N10" s="2">
        <v>5</v>
      </c>
      <c r="O10" s="3" t="s">
        <v>29</v>
      </c>
      <c r="P10" s="2" t="s">
        <v>79</v>
      </c>
      <c r="Q10" s="2" t="s">
        <v>80</v>
      </c>
      <c r="R10" s="2" t="s">
        <v>81</v>
      </c>
      <c r="S10" s="2" t="s">
        <v>82</v>
      </c>
    </row>
    <row r="11" spans="1:19" x14ac:dyDescent="0.25">
      <c r="A11" s="2">
        <v>10</v>
      </c>
      <c r="B11" s="2" t="s">
        <v>19</v>
      </c>
      <c r="C11" s="2" t="s">
        <v>71</v>
      </c>
      <c r="D11" s="2">
        <v>5</v>
      </c>
      <c r="E11" s="2" t="s">
        <v>72</v>
      </c>
      <c r="F11" s="2" t="s">
        <v>73</v>
      </c>
      <c r="G11" s="2" t="s">
        <v>74</v>
      </c>
      <c r="H11" s="2" t="s">
        <v>55</v>
      </c>
      <c r="I11" s="2" t="s">
        <v>83</v>
      </c>
      <c r="J11" s="2" t="s">
        <v>76</v>
      </c>
      <c r="K11" s="2" t="s">
        <v>77</v>
      </c>
      <c r="L11" s="2" t="s">
        <v>78</v>
      </c>
      <c r="M11" s="2">
        <v>3</v>
      </c>
      <c r="N11" s="2">
        <v>5</v>
      </c>
      <c r="O11" s="3" t="s">
        <v>29</v>
      </c>
      <c r="P11" s="2" t="s">
        <v>84</v>
      </c>
      <c r="Q11" s="2" t="s">
        <v>80</v>
      </c>
      <c r="R11" s="2" t="s">
        <v>81</v>
      </c>
      <c r="S11" s="2" t="s">
        <v>85</v>
      </c>
    </row>
    <row r="12" spans="1:19" x14ac:dyDescent="0.25">
      <c r="A12" s="2">
        <v>11</v>
      </c>
      <c r="B12" s="2" t="s">
        <v>19</v>
      </c>
      <c r="C12" s="2" t="s">
        <v>71</v>
      </c>
      <c r="D12" s="2">
        <v>5</v>
      </c>
      <c r="E12" s="2" t="s">
        <v>72</v>
      </c>
      <c r="F12" s="2" t="s">
        <v>73</v>
      </c>
      <c r="G12" s="2" t="s">
        <v>74</v>
      </c>
      <c r="H12" s="2" t="s">
        <v>55</v>
      </c>
      <c r="I12" s="2" t="s">
        <v>75</v>
      </c>
      <c r="J12" s="2" t="s">
        <v>86</v>
      </c>
      <c r="K12" s="2" t="s">
        <v>87</v>
      </c>
      <c r="L12" s="2" t="s">
        <v>88</v>
      </c>
      <c r="M12" s="2">
        <v>4</v>
      </c>
      <c r="N12" s="2">
        <v>3</v>
      </c>
      <c r="O12" s="3" t="s">
        <v>29</v>
      </c>
      <c r="P12" s="2" t="s">
        <v>89</v>
      </c>
      <c r="Q12" s="2" t="s">
        <v>80</v>
      </c>
      <c r="R12" s="2" t="s">
        <v>81</v>
      </c>
      <c r="S12" s="2" t="s">
        <v>90</v>
      </c>
    </row>
    <row r="13" spans="1:19" x14ac:dyDescent="0.25">
      <c r="A13" s="2">
        <v>12</v>
      </c>
      <c r="B13" s="2" t="s">
        <v>19</v>
      </c>
      <c r="C13" s="2" t="s">
        <v>71</v>
      </c>
      <c r="D13" s="2">
        <v>5</v>
      </c>
      <c r="E13" s="2" t="s">
        <v>72</v>
      </c>
      <c r="F13" s="2" t="s">
        <v>73</v>
      </c>
      <c r="G13" s="2" t="s">
        <v>74</v>
      </c>
      <c r="H13" s="2" t="s">
        <v>55</v>
      </c>
      <c r="I13" s="2" t="s">
        <v>75</v>
      </c>
      <c r="J13" s="2" t="s">
        <v>91</v>
      </c>
      <c r="K13" s="2" t="s">
        <v>92</v>
      </c>
      <c r="L13" s="2" t="s">
        <v>78</v>
      </c>
      <c r="M13" s="2">
        <v>3</v>
      </c>
      <c r="N13" s="2">
        <v>5</v>
      </c>
      <c r="O13" s="3" t="s">
        <v>29</v>
      </c>
      <c r="P13" s="2" t="s">
        <v>93</v>
      </c>
      <c r="Q13" s="2" t="s">
        <v>80</v>
      </c>
      <c r="R13" s="2" t="s">
        <v>81</v>
      </c>
      <c r="S13" s="2" t="s">
        <v>94</v>
      </c>
    </row>
    <row r="14" spans="1:19" x14ac:dyDescent="0.25">
      <c r="A14" s="2">
        <v>13</v>
      </c>
      <c r="B14" s="2" t="s">
        <v>19</v>
      </c>
      <c r="C14" s="2" t="s">
        <v>71</v>
      </c>
      <c r="D14" s="2">
        <v>5</v>
      </c>
      <c r="E14" s="2" t="s">
        <v>72</v>
      </c>
      <c r="F14" s="2" t="s">
        <v>73</v>
      </c>
      <c r="G14" s="2" t="s">
        <v>74</v>
      </c>
      <c r="H14" s="2" t="s">
        <v>65</v>
      </c>
      <c r="I14" s="2" t="s">
        <v>95</v>
      </c>
      <c r="J14" s="2" t="s">
        <v>96</v>
      </c>
      <c r="K14" s="2" t="s">
        <v>97</v>
      </c>
      <c r="L14" s="2" t="s">
        <v>98</v>
      </c>
      <c r="M14" s="2">
        <v>5</v>
      </c>
      <c r="N14" s="2">
        <v>5</v>
      </c>
      <c r="O14" s="3" t="s">
        <v>29</v>
      </c>
      <c r="P14" s="2" t="s">
        <v>99</v>
      </c>
      <c r="Q14" s="2" t="s">
        <v>80</v>
      </c>
      <c r="R14" s="2" t="s">
        <v>81</v>
      </c>
      <c r="S14" s="2" t="s">
        <v>100</v>
      </c>
    </row>
    <row r="15" spans="1:19" x14ac:dyDescent="0.25">
      <c r="A15" s="2">
        <v>14</v>
      </c>
      <c r="B15" s="2" t="s">
        <v>19</v>
      </c>
      <c r="C15" s="2" t="s">
        <v>101</v>
      </c>
      <c r="D15" s="2">
        <v>5</v>
      </c>
      <c r="E15" s="2" t="s">
        <v>72</v>
      </c>
      <c r="F15" s="2" t="s">
        <v>73</v>
      </c>
      <c r="G15" s="2" t="s">
        <v>102</v>
      </c>
      <c r="H15" s="2" t="s">
        <v>24</v>
      </c>
      <c r="I15" s="2" t="s">
        <v>103</v>
      </c>
      <c r="J15" s="2" t="s">
        <v>104</v>
      </c>
      <c r="K15" s="2" t="s">
        <v>105</v>
      </c>
      <c r="L15" s="2" t="s">
        <v>78</v>
      </c>
      <c r="M15" s="2">
        <v>4</v>
      </c>
      <c r="N15" s="2">
        <v>5</v>
      </c>
      <c r="O15" s="3" t="s">
        <v>29</v>
      </c>
      <c r="P15" s="2" t="s">
        <v>106</v>
      </c>
      <c r="Q15" s="2" t="s">
        <v>107</v>
      </c>
      <c r="R15" s="2" t="s">
        <v>108</v>
      </c>
      <c r="S15" s="2" t="s">
        <v>109</v>
      </c>
    </row>
    <row r="16" spans="1:19" x14ac:dyDescent="0.25">
      <c r="A16" s="2">
        <v>15</v>
      </c>
      <c r="B16" s="2" t="s">
        <v>19</v>
      </c>
      <c r="C16" s="2" t="s">
        <v>101</v>
      </c>
      <c r="D16" s="2">
        <v>5</v>
      </c>
      <c r="E16" s="2" t="s">
        <v>72</v>
      </c>
      <c r="F16" s="2" t="s">
        <v>73</v>
      </c>
      <c r="G16" s="2" t="s">
        <v>102</v>
      </c>
      <c r="H16" s="2" t="s">
        <v>48</v>
      </c>
      <c r="I16" s="2" t="s">
        <v>110</v>
      </c>
      <c r="J16" s="2" t="s">
        <v>111</v>
      </c>
      <c r="K16" s="2" t="s">
        <v>112</v>
      </c>
      <c r="L16" s="2" t="s">
        <v>78</v>
      </c>
      <c r="M16" s="2">
        <v>4</v>
      </c>
      <c r="N16" s="2">
        <v>5</v>
      </c>
      <c r="O16" s="3" t="s">
        <v>29</v>
      </c>
      <c r="P16" s="2" t="s">
        <v>113</v>
      </c>
      <c r="Q16" s="2" t="s">
        <v>107</v>
      </c>
      <c r="R16" s="2" t="s">
        <v>108</v>
      </c>
      <c r="S16" s="2" t="s">
        <v>114</v>
      </c>
    </row>
    <row r="17" spans="1:19" x14ac:dyDescent="0.25">
      <c r="A17" s="2">
        <v>16</v>
      </c>
      <c r="B17" s="2" t="s">
        <v>19</v>
      </c>
      <c r="C17" s="2" t="s">
        <v>115</v>
      </c>
      <c r="D17" s="2">
        <v>7</v>
      </c>
      <c r="E17" s="2" t="s">
        <v>116</v>
      </c>
      <c r="F17" s="2" t="s">
        <v>117</v>
      </c>
      <c r="G17" s="2" t="s">
        <v>118</v>
      </c>
      <c r="H17" s="2" t="s">
        <v>55</v>
      </c>
      <c r="I17" s="2" t="s">
        <v>119</v>
      </c>
      <c r="J17" s="2" t="s">
        <v>120</v>
      </c>
      <c r="K17" s="2" t="s">
        <v>121</v>
      </c>
      <c r="L17" s="2" t="s">
        <v>122</v>
      </c>
      <c r="M17" s="2">
        <v>3</v>
      </c>
      <c r="N17" s="2">
        <v>7</v>
      </c>
      <c r="O17" s="4" t="s">
        <v>52</v>
      </c>
      <c r="P17" s="2" t="s">
        <v>123</v>
      </c>
      <c r="Q17" s="2" t="s">
        <v>124</v>
      </c>
      <c r="R17" s="2" t="s">
        <v>125</v>
      </c>
      <c r="S17" s="2" t="s">
        <v>126</v>
      </c>
    </row>
    <row r="18" spans="1:19" x14ac:dyDescent="0.25">
      <c r="A18" s="2">
        <v>17</v>
      </c>
      <c r="B18" s="2" t="s">
        <v>19</v>
      </c>
      <c r="C18" s="2" t="s">
        <v>115</v>
      </c>
      <c r="D18" s="2">
        <v>7</v>
      </c>
      <c r="E18" s="2" t="s">
        <v>116</v>
      </c>
      <c r="F18" s="2" t="s">
        <v>117</v>
      </c>
      <c r="G18" s="2" t="s">
        <v>118</v>
      </c>
      <c r="H18" s="2" t="s">
        <v>55</v>
      </c>
      <c r="I18" s="2" t="s">
        <v>119</v>
      </c>
      <c r="J18" s="2" t="s">
        <v>127</v>
      </c>
      <c r="K18" s="2" t="s">
        <v>121</v>
      </c>
      <c r="L18" s="2" t="s">
        <v>36</v>
      </c>
      <c r="M18" s="2">
        <v>3</v>
      </c>
      <c r="N18" s="2">
        <v>7</v>
      </c>
      <c r="O18" s="4" t="s">
        <v>52</v>
      </c>
      <c r="P18" s="2" t="s">
        <v>128</v>
      </c>
      <c r="Q18" s="2" t="s">
        <v>124</v>
      </c>
      <c r="R18" s="2" t="s">
        <v>125</v>
      </c>
      <c r="S18" s="2" t="s">
        <v>129</v>
      </c>
    </row>
    <row r="19" spans="1:19" x14ac:dyDescent="0.25">
      <c r="A19" s="2">
        <v>18</v>
      </c>
      <c r="B19" s="2" t="s">
        <v>19</v>
      </c>
      <c r="C19" s="2" t="s">
        <v>115</v>
      </c>
      <c r="D19" s="2">
        <v>7</v>
      </c>
      <c r="E19" s="2" t="s">
        <v>116</v>
      </c>
      <c r="F19" s="2" t="s">
        <v>117</v>
      </c>
      <c r="G19" s="2" t="s">
        <v>118</v>
      </c>
      <c r="H19" s="2" t="s">
        <v>55</v>
      </c>
      <c r="I19" s="2" t="s">
        <v>119</v>
      </c>
      <c r="J19" s="2" t="s">
        <v>130</v>
      </c>
      <c r="K19" s="2" t="s">
        <v>131</v>
      </c>
      <c r="L19" s="2" t="s">
        <v>122</v>
      </c>
      <c r="M19" s="2">
        <v>3</v>
      </c>
      <c r="N19" s="2">
        <v>7</v>
      </c>
      <c r="O19" s="4" t="s">
        <v>52</v>
      </c>
      <c r="P19" s="2" t="s">
        <v>132</v>
      </c>
      <c r="Q19" s="2" t="s">
        <v>124</v>
      </c>
      <c r="R19" s="2" t="s">
        <v>125</v>
      </c>
      <c r="S19" s="2" t="s">
        <v>133</v>
      </c>
    </row>
    <row r="20" spans="1:19" x14ac:dyDescent="0.25">
      <c r="A20" s="2">
        <v>19</v>
      </c>
      <c r="B20" s="2" t="s">
        <v>19</v>
      </c>
      <c r="C20" s="2" t="s">
        <v>115</v>
      </c>
      <c r="D20" s="2">
        <v>7</v>
      </c>
      <c r="E20" s="2" t="s">
        <v>116</v>
      </c>
      <c r="F20" s="2" t="s">
        <v>117</v>
      </c>
      <c r="G20" s="2" t="s">
        <v>118</v>
      </c>
      <c r="H20" s="2" t="s">
        <v>55</v>
      </c>
      <c r="I20" s="2" t="s">
        <v>134</v>
      </c>
      <c r="J20" s="2" t="s">
        <v>135</v>
      </c>
      <c r="K20" s="2" t="s">
        <v>136</v>
      </c>
      <c r="L20" s="2" t="s">
        <v>122</v>
      </c>
      <c r="M20" s="2">
        <v>3</v>
      </c>
      <c r="N20" s="2">
        <v>7</v>
      </c>
      <c r="O20" s="4" t="s">
        <v>52</v>
      </c>
      <c r="P20" s="2" t="s">
        <v>137</v>
      </c>
      <c r="Q20" s="2" t="s">
        <v>124</v>
      </c>
      <c r="R20" s="2" t="s">
        <v>125</v>
      </c>
      <c r="S20" s="2" t="s">
        <v>138</v>
      </c>
    </row>
    <row r="21" spans="1:19" x14ac:dyDescent="0.25">
      <c r="A21" s="2">
        <v>20</v>
      </c>
      <c r="B21" s="2" t="s">
        <v>19</v>
      </c>
      <c r="C21" s="2" t="s">
        <v>115</v>
      </c>
      <c r="D21" s="2">
        <v>7</v>
      </c>
      <c r="E21" s="2" t="s">
        <v>116</v>
      </c>
      <c r="F21" s="2" t="s">
        <v>117</v>
      </c>
      <c r="G21" s="2" t="s">
        <v>118</v>
      </c>
      <c r="H21" s="2" t="s">
        <v>65</v>
      </c>
      <c r="I21" s="2" t="s">
        <v>139</v>
      </c>
      <c r="J21" s="2" t="s">
        <v>67</v>
      </c>
      <c r="K21" s="2" t="s">
        <v>140</v>
      </c>
      <c r="L21" s="2" t="s">
        <v>141</v>
      </c>
      <c r="M21" s="2">
        <v>5</v>
      </c>
      <c r="N21" s="2">
        <v>7</v>
      </c>
      <c r="O21" s="5" t="s">
        <v>142</v>
      </c>
      <c r="P21" s="2" t="s">
        <v>143</v>
      </c>
      <c r="Q21" s="2" t="s">
        <v>124</v>
      </c>
      <c r="R21" s="2" t="s">
        <v>125</v>
      </c>
      <c r="S21" s="2" t="s">
        <v>144</v>
      </c>
    </row>
    <row r="22" spans="1:19" x14ac:dyDescent="0.25">
      <c r="A22" s="2">
        <v>21</v>
      </c>
      <c r="B22" s="2" t="s">
        <v>19</v>
      </c>
      <c r="C22" s="2" t="s">
        <v>145</v>
      </c>
      <c r="D22" s="2">
        <v>5</v>
      </c>
      <c r="E22" s="2" t="s">
        <v>116</v>
      </c>
      <c r="F22" s="2" t="s">
        <v>117</v>
      </c>
      <c r="G22" s="2" t="s">
        <v>146</v>
      </c>
      <c r="H22" s="2" t="s">
        <v>24</v>
      </c>
      <c r="I22" s="2" t="s">
        <v>147</v>
      </c>
      <c r="J22" s="2" t="s">
        <v>104</v>
      </c>
      <c r="K22" s="2" t="s">
        <v>148</v>
      </c>
      <c r="L22" s="2" t="s">
        <v>122</v>
      </c>
      <c r="M22" s="2">
        <v>4</v>
      </c>
      <c r="N22" s="2">
        <v>1</v>
      </c>
      <c r="O22" s="3" t="s">
        <v>29</v>
      </c>
      <c r="P22" s="2" t="s">
        <v>149</v>
      </c>
      <c r="Q22" s="2" t="s">
        <v>150</v>
      </c>
      <c r="R22" s="2" t="s">
        <v>151</v>
      </c>
      <c r="S22" s="2" t="s">
        <v>152</v>
      </c>
    </row>
    <row r="23" spans="1:19" x14ac:dyDescent="0.25">
      <c r="A23" s="2">
        <v>22</v>
      </c>
      <c r="B23" s="2" t="s">
        <v>19</v>
      </c>
      <c r="C23" s="2" t="s">
        <v>145</v>
      </c>
      <c r="D23" s="2">
        <v>5</v>
      </c>
      <c r="E23" s="2" t="s">
        <v>116</v>
      </c>
      <c r="F23" s="2" t="s">
        <v>117</v>
      </c>
      <c r="G23" s="2" t="s">
        <v>146</v>
      </c>
      <c r="H23" s="2" t="s">
        <v>48</v>
      </c>
      <c r="I23" s="2" t="s">
        <v>153</v>
      </c>
      <c r="J23" s="2" t="s">
        <v>111</v>
      </c>
      <c r="K23" s="2" t="s">
        <v>154</v>
      </c>
      <c r="L23" s="2" t="s">
        <v>122</v>
      </c>
      <c r="M23" s="2">
        <v>4</v>
      </c>
      <c r="N23" s="2">
        <v>1</v>
      </c>
      <c r="O23" s="3" t="s">
        <v>29</v>
      </c>
      <c r="P23" s="2" t="s">
        <v>155</v>
      </c>
      <c r="Q23" s="2" t="s">
        <v>150</v>
      </c>
      <c r="R23" s="2" t="s">
        <v>151</v>
      </c>
      <c r="S23" s="2" t="s">
        <v>156</v>
      </c>
    </row>
    <row r="24" spans="1:19" x14ac:dyDescent="0.25">
      <c r="A24" s="2">
        <v>23</v>
      </c>
      <c r="B24" s="2" t="s">
        <v>19</v>
      </c>
      <c r="C24" s="2" t="s">
        <v>157</v>
      </c>
      <c r="D24" s="2">
        <v>7</v>
      </c>
      <c r="E24" s="2" t="s">
        <v>158</v>
      </c>
      <c r="F24" s="2" t="s">
        <v>159</v>
      </c>
      <c r="G24" s="2" t="s">
        <v>160</v>
      </c>
      <c r="H24" s="2" t="s">
        <v>24</v>
      </c>
      <c r="I24" s="2" t="s">
        <v>161</v>
      </c>
      <c r="J24" s="2" t="s">
        <v>104</v>
      </c>
      <c r="K24" s="2" t="s">
        <v>162</v>
      </c>
      <c r="L24" s="2" t="s">
        <v>163</v>
      </c>
      <c r="M24" s="2">
        <v>4</v>
      </c>
      <c r="N24" s="2">
        <v>1</v>
      </c>
      <c r="O24" s="4" t="s">
        <v>52</v>
      </c>
      <c r="P24" s="2" t="s">
        <v>164</v>
      </c>
      <c r="Q24" s="2" t="s">
        <v>165</v>
      </c>
      <c r="R24" s="2" t="s">
        <v>166</v>
      </c>
      <c r="S24" s="2" t="s">
        <v>167</v>
      </c>
    </row>
    <row r="25" spans="1:19" x14ac:dyDescent="0.25">
      <c r="A25" s="2">
        <v>24</v>
      </c>
      <c r="B25" s="2" t="s">
        <v>19</v>
      </c>
      <c r="C25" s="2" t="s">
        <v>157</v>
      </c>
      <c r="D25" s="2">
        <v>7</v>
      </c>
      <c r="E25" s="2" t="s">
        <v>158</v>
      </c>
      <c r="F25" s="2" t="s">
        <v>159</v>
      </c>
      <c r="G25" s="2" t="s">
        <v>160</v>
      </c>
      <c r="H25" s="2" t="s">
        <v>48</v>
      </c>
      <c r="I25" s="2" t="s">
        <v>168</v>
      </c>
      <c r="J25" s="2" t="s">
        <v>169</v>
      </c>
      <c r="K25" s="2" t="s">
        <v>170</v>
      </c>
      <c r="L25" s="2" t="s">
        <v>163</v>
      </c>
      <c r="M25" s="2">
        <v>4</v>
      </c>
      <c r="N25" s="2">
        <v>1</v>
      </c>
      <c r="O25" s="4" t="s">
        <v>52</v>
      </c>
      <c r="P25" s="2" t="s">
        <v>171</v>
      </c>
      <c r="Q25" s="2" t="s">
        <v>165</v>
      </c>
      <c r="R25" s="2" t="s">
        <v>166</v>
      </c>
      <c r="S25" s="2" t="s">
        <v>172</v>
      </c>
    </row>
    <row r="26" spans="1:19" x14ac:dyDescent="0.25">
      <c r="A26" s="2">
        <v>25</v>
      </c>
      <c r="B26" s="2" t="s">
        <v>19</v>
      </c>
      <c r="C26" s="2" t="s">
        <v>157</v>
      </c>
      <c r="D26" s="2">
        <v>7</v>
      </c>
      <c r="E26" s="2" t="s">
        <v>158</v>
      </c>
      <c r="F26" s="2" t="s">
        <v>159</v>
      </c>
      <c r="G26" s="2" t="s">
        <v>160</v>
      </c>
      <c r="H26" s="2" t="s">
        <v>55</v>
      </c>
      <c r="I26" s="2" t="s">
        <v>173</v>
      </c>
      <c r="J26" s="2" t="s">
        <v>174</v>
      </c>
      <c r="K26" s="2" t="s">
        <v>175</v>
      </c>
      <c r="L26" s="2" t="s">
        <v>163</v>
      </c>
      <c r="M26" s="2">
        <v>4</v>
      </c>
      <c r="N26" s="2">
        <v>1</v>
      </c>
      <c r="O26" s="4" t="s">
        <v>52</v>
      </c>
      <c r="P26" s="2" t="s">
        <v>176</v>
      </c>
      <c r="Q26" s="2" t="s">
        <v>165</v>
      </c>
      <c r="R26" s="2" t="s">
        <v>166</v>
      </c>
      <c r="S26" s="2" t="s">
        <v>177</v>
      </c>
    </row>
    <row r="27" spans="1:19" x14ac:dyDescent="0.25">
      <c r="A27" s="2">
        <v>26</v>
      </c>
      <c r="B27" s="2" t="s">
        <v>19</v>
      </c>
      <c r="C27" s="2" t="s">
        <v>157</v>
      </c>
      <c r="D27" s="2">
        <v>7</v>
      </c>
      <c r="E27" s="2" t="s">
        <v>158</v>
      </c>
      <c r="F27" s="2" t="s">
        <v>159</v>
      </c>
      <c r="G27" s="2" t="s">
        <v>160</v>
      </c>
      <c r="H27" s="2" t="s">
        <v>65</v>
      </c>
      <c r="I27" s="2" t="s">
        <v>178</v>
      </c>
      <c r="J27" s="2" t="s">
        <v>67</v>
      </c>
      <c r="K27" s="2" t="s">
        <v>179</v>
      </c>
      <c r="L27" s="2" t="s">
        <v>180</v>
      </c>
      <c r="M27" s="2">
        <v>5</v>
      </c>
      <c r="N27" s="2">
        <v>1</v>
      </c>
      <c r="O27" s="4" t="s">
        <v>52</v>
      </c>
      <c r="P27" s="2" t="s">
        <v>181</v>
      </c>
      <c r="Q27" s="2" t="s">
        <v>165</v>
      </c>
      <c r="R27" s="2" t="s">
        <v>166</v>
      </c>
      <c r="S27" s="2" t="s">
        <v>182</v>
      </c>
    </row>
    <row r="28" spans="1:19" x14ac:dyDescent="0.25">
      <c r="A28" s="2">
        <v>27</v>
      </c>
      <c r="B28" s="2" t="s">
        <v>19</v>
      </c>
      <c r="C28" s="2" t="s">
        <v>183</v>
      </c>
      <c r="D28" s="2">
        <v>5</v>
      </c>
      <c r="E28" s="2" t="s">
        <v>184</v>
      </c>
      <c r="F28" s="2" t="s">
        <v>185</v>
      </c>
      <c r="G28" s="2" t="s">
        <v>186</v>
      </c>
      <c r="H28" s="2" t="s">
        <v>24</v>
      </c>
      <c r="I28" s="2" t="s">
        <v>187</v>
      </c>
      <c r="J28" s="2" t="s">
        <v>188</v>
      </c>
      <c r="K28" s="2" t="s">
        <v>189</v>
      </c>
      <c r="L28" s="2" t="s">
        <v>190</v>
      </c>
      <c r="M28" s="2">
        <v>2</v>
      </c>
      <c r="N28" s="2">
        <v>4</v>
      </c>
      <c r="O28" s="3" t="s">
        <v>29</v>
      </c>
      <c r="P28" s="2" t="s">
        <v>191</v>
      </c>
      <c r="Q28" s="2" t="s">
        <v>192</v>
      </c>
      <c r="R28" s="2" t="s">
        <v>193</v>
      </c>
      <c r="S28" s="2" t="s">
        <v>194</v>
      </c>
    </row>
    <row r="29" spans="1:19" x14ac:dyDescent="0.25">
      <c r="A29" s="2">
        <v>28</v>
      </c>
      <c r="B29" s="2" t="s">
        <v>19</v>
      </c>
      <c r="C29" s="2" t="s">
        <v>183</v>
      </c>
      <c r="D29" s="2">
        <v>5</v>
      </c>
      <c r="E29" s="2" t="s">
        <v>184</v>
      </c>
      <c r="F29" s="2" t="s">
        <v>185</v>
      </c>
      <c r="G29" s="2" t="s">
        <v>186</v>
      </c>
      <c r="H29" s="2" t="s">
        <v>48</v>
      </c>
      <c r="I29" s="2" t="s">
        <v>195</v>
      </c>
      <c r="J29" s="2" t="s">
        <v>196</v>
      </c>
      <c r="K29" s="2" t="s">
        <v>197</v>
      </c>
      <c r="L29" s="2" t="s">
        <v>198</v>
      </c>
      <c r="M29" s="2">
        <v>4</v>
      </c>
      <c r="N29" s="2">
        <v>4</v>
      </c>
      <c r="O29" s="3" t="s">
        <v>29</v>
      </c>
      <c r="P29" s="2" t="s">
        <v>199</v>
      </c>
      <c r="Q29" s="2" t="s">
        <v>192</v>
      </c>
      <c r="R29" s="2" t="s">
        <v>193</v>
      </c>
      <c r="S29" s="2" t="s">
        <v>200</v>
      </c>
    </row>
    <row r="30" spans="1:19" x14ac:dyDescent="0.25">
      <c r="A30" s="2">
        <v>29</v>
      </c>
      <c r="B30" s="2" t="s">
        <v>19</v>
      </c>
      <c r="C30" s="2" t="s">
        <v>183</v>
      </c>
      <c r="D30" s="2">
        <v>5</v>
      </c>
      <c r="E30" s="2" t="s">
        <v>184</v>
      </c>
      <c r="F30" s="2" t="s">
        <v>185</v>
      </c>
      <c r="G30" s="2" t="s">
        <v>186</v>
      </c>
      <c r="H30" s="2" t="s">
        <v>55</v>
      </c>
      <c r="I30" s="2" t="s">
        <v>201</v>
      </c>
      <c r="J30" s="2" t="s">
        <v>202</v>
      </c>
      <c r="K30" s="2" t="s">
        <v>203</v>
      </c>
      <c r="L30" s="2" t="s">
        <v>190</v>
      </c>
      <c r="M30" s="2">
        <v>4</v>
      </c>
      <c r="N30" s="2">
        <v>4</v>
      </c>
      <c r="O30" s="3" t="s">
        <v>29</v>
      </c>
      <c r="P30" s="2" t="s">
        <v>204</v>
      </c>
      <c r="Q30" s="2" t="s">
        <v>192</v>
      </c>
      <c r="R30" s="2" t="s">
        <v>193</v>
      </c>
      <c r="S30" s="2" t="s">
        <v>205</v>
      </c>
    </row>
    <row r="31" spans="1:19" x14ac:dyDescent="0.25">
      <c r="A31" s="2">
        <v>30</v>
      </c>
      <c r="B31" s="2" t="s">
        <v>19</v>
      </c>
      <c r="C31" s="2" t="s">
        <v>183</v>
      </c>
      <c r="D31" s="2">
        <v>5</v>
      </c>
      <c r="E31" s="2" t="s">
        <v>184</v>
      </c>
      <c r="F31" s="2" t="s">
        <v>185</v>
      </c>
      <c r="G31" s="2" t="s">
        <v>186</v>
      </c>
      <c r="H31" s="2" t="s">
        <v>55</v>
      </c>
      <c r="I31" s="2" t="s">
        <v>201</v>
      </c>
      <c r="J31" s="2" t="s">
        <v>206</v>
      </c>
      <c r="K31" s="2" t="s">
        <v>203</v>
      </c>
      <c r="L31" s="2" t="s">
        <v>190</v>
      </c>
      <c r="M31" s="2">
        <v>4</v>
      </c>
      <c r="N31" s="2">
        <v>4</v>
      </c>
      <c r="O31" s="3" t="s">
        <v>29</v>
      </c>
      <c r="P31" s="2" t="s">
        <v>207</v>
      </c>
      <c r="Q31" s="2" t="s">
        <v>192</v>
      </c>
      <c r="R31" s="2" t="s">
        <v>193</v>
      </c>
      <c r="S31" s="2" t="s">
        <v>208</v>
      </c>
    </row>
    <row r="32" spans="1:19" x14ac:dyDescent="0.25">
      <c r="A32" s="2">
        <v>31</v>
      </c>
      <c r="B32" s="2" t="s">
        <v>19</v>
      </c>
      <c r="C32" s="2" t="s">
        <v>20</v>
      </c>
      <c r="D32" s="2">
        <v>5</v>
      </c>
      <c r="E32" s="2" t="s">
        <v>184</v>
      </c>
      <c r="F32" s="2" t="s">
        <v>185</v>
      </c>
      <c r="G32" s="2" t="s">
        <v>209</v>
      </c>
      <c r="H32" s="2" t="s">
        <v>48</v>
      </c>
      <c r="I32" s="2" t="s">
        <v>210</v>
      </c>
      <c r="J32" s="2" t="s">
        <v>211</v>
      </c>
      <c r="K32" s="2" t="s">
        <v>203</v>
      </c>
      <c r="L32" s="2" t="s">
        <v>190</v>
      </c>
      <c r="M32" s="2">
        <v>4</v>
      </c>
      <c r="N32" s="2">
        <v>4</v>
      </c>
      <c r="O32" s="3" t="s">
        <v>29</v>
      </c>
      <c r="P32" s="2" t="s">
        <v>212</v>
      </c>
      <c r="Q32" s="2" t="s">
        <v>213</v>
      </c>
      <c r="R32" s="2" t="s">
        <v>32</v>
      </c>
      <c r="S32" s="2" t="s">
        <v>214</v>
      </c>
    </row>
    <row r="33" spans="1:19" x14ac:dyDescent="0.25">
      <c r="A33" s="2">
        <v>32</v>
      </c>
      <c r="B33" s="2" t="s">
        <v>19</v>
      </c>
      <c r="C33" s="2" t="s">
        <v>20</v>
      </c>
      <c r="D33" s="2">
        <v>5</v>
      </c>
      <c r="E33" s="2" t="s">
        <v>184</v>
      </c>
      <c r="F33" s="2" t="s">
        <v>185</v>
      </c>
      <c r="G33" s="2" t="s">
        <v>209</v>
      </c>
      <c r="H33" s="2" t="s">
        <v>48</v>
      </c>
      <c r="I33" s="2" t="s">
        <v>210</v>
      </c>
      <c r="J33" s="2" t="s">
        <v>215</v>
      </c>
      <c r="K33" s="2" t="s">
        <v>216</v>
      </c>
      <c r="L33" s="2" t="s">
        <v>217</v>
      </c>
      <c r="M33" s="2">
        <v>4</v>
      </c>
      <c r="N33" s="2">
        <v>4</v>
      </c>
      <c r="O33" s="3" t="s">
        <v>29</v>
      </c>
      <c r="P33" s="2" t="s">
        <v>218</v>
      </c>
      <c r="Q33" s="2" t="s">
        <v>213</v>
      </c>
      <c r="R33" s="2" t="s">
        <v>32</v>
      </c>
      <c r="S33" s="2" t="s">
        <v>219</v>
      </c>
    </row>
    <row r="34" spans="1:19" x14ac:dyDescent="0.25">
      <c r="A34" s="2">
        <v>33</v>
      </c>
      <c r="B34" s="2" t="s">
        <v>19</v>
      </c>
      <c r="C34" s="2" t="s">
        <v>20</v>
      </c>
      <c r="D34" s="2">
        <v>5</v>
      </c>
      <c r="E34" s="2" t="s">
        <v>184</v>
      </c>
      <c r="F34" s="2" t="s">
        <v>185</v>
      </c>
      <c r="G34" s="2" t="s">
        <v>209</v>
      </c>
      <c r="H34" s="2" t="s">
        <v>48</v>
      </c>
      <c r="I34" s="2" t="s">
        <v>195</v>
      </c>
      <c r="J34" s="2" t="s">
        <v>196</v>
      </c>
      <c r="K34" s="2" t="s">
        <v>220</v>
      </c>
      <c r="L34" s="2" t="s">
        <v>198</v>
      </c>
      <c r="M34" s="2">
        <v>4</v>
      </c>
      <c r="N34" s="2">
        <v>4</v>
      </c>
      <c r="O34" s="3" t="s">
        <v>29</v>
      </c>
      <c r="P34" s="2" t="s">
        <v>221</v>
      </c>
      <c r="Q34" s="2" t="s">
        <v>213</v>
      </c>
      <c r="R34" s="2" t="s">
        <v>32</v>
      </c>
      <c r="S34" s="2" t="s">
        <v>200</v>
      </c>
    </row>
    <row r="35" spans="1:19" x14ac:dyDescent="0.25">
      <c r="A35" s="2">
        <v>34</v>
      </c>
      <c r="B35" s="2" t="s">
        <v>19</v>
      </c>
      <c r="C35" s="2" t="s">
        <v>20</v>
      </c>
      <c r="D35" s="2">
        <v>5</v>
      </c>
      <c r="E35" s="2" t="s">
        <v>184</v>
      </c>
      <c r="F35" s="2" t="s">
        <v>185</v>
      </c>
      <c r="G35" s="2" t="s">
        <v>209</v>
      </c>
      <c r="H35" s="2" t="s">
        <v>55</v>
      </c>
      <c r="I35" s="2" t="s">
        <v>201</v>
      </c>
      <c r="J35" s="2" t="s">
        <v>222</v>
      </c>
      <c r="K35" s="2" t="s">
        <v>223</v>
      </c>
      <c r="L35" s="2" t="s">
        <v>190</v>
      </c>
      <c r="M35" s="2">
        <v>4</v>
      </c>
      <c r="N35" s="2">
        <v>4</v>
      </c>
      <c r="O35" s="3" t="s">
        <v>29</v>
      </c>
      <c r="P35" s="2" t="s">
        <v>224</v>
      </c>
      <c r="Q35" s="2" t="s">
        <v>213</v>
      </c>
      <c r="R35" s="2" t="s">
        <v>32</v>
      </c>
      <c r="S35" s="2" t="s">
        <v>225</v>
      </c>
    </row>
    <row r="36" spans="1:19" x14ac:dyDescent="0.25">
      <c r="A36" s="2">
        <v>35</v>
      </c>
      <c r="B36" s="2" t="s">
        <v>19</v>
      </c>
      <c r="C36" s="2" t="s">
        <v>20</v>
      </c>
      <c r="D36" s="2">
        <v>5</v>
      </c>
      <c r="E36" s="2" t="s">
        <v>184</v>
      </c>
      <c r="F36" s="2" t="s">
        <v>185</v>
      </c>
      <c r="G36" s="2" t="s">
        <v>209</v>
      </c>
      <c r="H36" s="2" t="s">
        <v>55</v>
      </c>
      <c r="I36" s="2" t="s">
        <v>201</v>
      </c>
      <c r="J36" s="2" t="s">
        <v>226</v>
      </c>
      <c r="K36" s="2" t="s">
        <v>227</v>
      </c>
      <c r="L36" s="2" t="s">
        <v>190</v>
      </c>
      <c r="M36" s="2">
        <v>4</v>
      </c>
      <c r="N36" s="2">
        <v>4</v>
      </c>
      <c r="O36" s="3" t="s">
        <v>29</v>
      </c>
      <c r="P36" s="2" t="s">
        <v>228</v>
      </c>
      <c r="Q36" s="2" t="s">
        <v>213</v>
      </c>
      <c r="R36" s="2" t="s">
        <v>32</v>
      </c>
      <c r="S36" s="2" t="s">
        <v>229</v>
      </c>
    </row>
    <row r="37" spans="1:19" x14ac:dyDescent="0.25">
      <c r="A37" s="2">
        <v>36</v>
      </c>
      <c r="B37" s="2" t="s">
        <v>19</v>
      </c>
      <c r="C37" s="2" t="s">
        <v>20</v>
      </c>
      <c r="D37" s="2">
        <v>5</v>
      </c>
      <c r="E37" s="2" t="s">
        <v>184</v>
      </c>
      <c r="F37" s="2" t="s">
        <v>185</v>
      </c>
      <c r="G37" s="2" t="s">
        <v>209</v>
      </c>
      <c r="H37" s="2" t="s">
        <v>55</v>
      </c>
      <c r="I37" s="2" t="s">
        <v>201</v>
      </c>
      <c r="J37" s="2" t="s">
        <v>230</v>
      </c>
      <c r="K37" s="2" t="s">
        <v>203</v>
      </c>
      <c r="L37" s="2" t="s">
        <v>190</v>
      </c>
      <c r="M37" s="2">
        <v>4</v>
      </c>
      <c r="N37" s="2">
        <v>4</v>
      </c>
      <c r="O37" s="3" t="s">
        <v>29</v>
      </c>
      <c r="P37" s="2" t="s">
        <v>231</v>
      </c>
      <c r="Q37" s="2" t="s">
        <v>213</v>
      </c>
      <c r="R37" s="2" t="s">
        <v>32</v>
      </c>
      <c r="S37" s="2" t="s">
        <v>232</v>
      </c>
    </row>
    <row r="38" spans="1:19" x14ac:dyDescent="0.25">
      <c r="A38" s="2">
        <v>37</v>
      </c>
      <c r="B38" s="2" t="s">
        <v>19</v>
      </c>
      <c r="C38" s="2" t="s">
        <v>20</v>
      </c>
      <c r="D38" s="2">
        <v>5</v>
      </c>
      <c r="E38" s="2" t="s">
        <v>184</v>
      </c>
      <c r="F38" s="2" t="s">
        <v>185</v>
      </c>
      <c r="G38" s="2" t="s">
        <v>209</v>
      </c>
      <c r="H38" s="2" t="s">
        <v>55</v>
      </c>
      <c r="I38" s="2" t="s">
        <v>201</v>
      </c>
      <c r="J38" s="2" t="s">
        <v>233</v>
      </c>
      <c r="K38" s="2" t="s">
        <v>203</v>
      </c>
      <c r="L38" s="2" t="s">
        <v>190</v>
      </c>
      <c r="M38" s="2">
        <v>4</v>
      </c>
      <c r="N38" s="2">
        <v>4</v>
      </c>
      <c r="O38" s="3" t="s">
        <v>29</v>
      </c>
      <c r="P38" s="2" t="s">
        <v>234</v>
      </c>
      <c r="Q38" s="2" t="s">
        <v>213</v>
      </c>
      <c r="R38" s="2" t="s">
        <v>32</v>
      </c>
      <c r="S38" s="2" t="s">
        <v>235</v>
      </c>
    </row>
    <row r="39" spans="1:19" x14ac:dyDescent="0.25">
      <c r="A39" s="2">
        <v>38</v>
      </c>
      <c r="B39" s="2" t="s">
        <v>19</v>
      </c>
      <c r="C39" s="2" t="s">
        <v>20</v>
      </c>
      <c r="D39" s="2">
        <v>5</v>
      </c>
      <c r="E39" s="2" t="s">
        <v>184</v>
      </c>
      <c r="F39" s="2" t="s">
        <v>185</v>
      </c>
      <c r="G39" s="2" t="s">
        <v>209</v>
      </c>
      <c r="H39" s="2" t="s">
        <v>55</v>
      </c>
      <c r="I39" s="2" t="s">
        <v>236</v>
      </c>
      <c r="J39" s="2" t="s">
        <v>233</v>
      </c>
      <c r="K39" s="2" t="s">
        <v>203</v>
      </c>
      <c r="L39" s="2" t="s">
        <v>190</v>
      </c>
      <c r="M39" s="2">
        <v>4</v>
      </c>
      <c r="N39" s="2">
        <v>4</v>
      </c>
      <c r="O39" s="3" t="s">
        <v>29</v>
      </c>
      <c r="P39" s="2" t="s">
        <v>237</v>
      </c>
      <c r="Q39" s="2" t="s">
        <v>213</v>
      </c>
      <c r="R39" s="2" t="s">
        <v>32</v>
      </c>
      <c r="S39" s="2" t="s">
        <v>238</v>
      </c>
    </row>
    <row r="40" spans="1:19" x14ac:dyDescent="0.25">
      <c r="A40" s="2">
        <v>39</v>
      </c>
      <c r="B40" s="2" t="s">
        <v>19</v>
      </c>
      <c r="C40" s="2" t="s">
        <v>20</v>
      </c>
      <c r="D40" s="2">
        <v>5</v>
      </c>
      <c r="E40" s="2" t="s">
        <v>184</v>
      </c>
      <c r="F40" s="2" t="s">
        <v>185</v>
      </c>
      <c r="G40" s="2" t="s">
        <v>209</v>
      </c>
      <c r="H40" s="2" t="s">
        <v>55</v>
      </c>
      <c r="I40" s="2" t="s">
        <v>201</v>
      </c>
      <c r="J40" s="2" t="s">
        <v>239</v>
      </c>
      <c r="K40" s="2" t="s">
        <v>87</v>
      </c>
      <c r="L40" s="2" t="s">
        <v>217</v>
      </c>
      <c r="M40" s="2">
        <v>4</v>
      </c>
      <c r="N40" s="2">
        <v>4</v>
      </c>
      <c r="O40" s="3" t="s">
        <v>29</v>
      </c>
      <c r="P40" s="2" t="s">
        <v>240</v>
      </c>
      <c r="Q40" s="2" t="s">
        <v>213</v>
      </c>
      <c r="R40" s="2" t="s">
        <v>32</v>
      </c>
      <c r="S40" s="2" t="s">
        <v>241</v>
      </c>
    </row>
    <row r="41" spans="1:19" x14ac:dyDescent="0.25">
      <c r="A41" s="2">
        <v>40</v>
      </c>
      <c r="B41" s="2" t="s">
        <v>19</v>
      </c>
      <c r="C41" s="2" t="s">
        <v>20</v>
      </c>
      <c r="D41" s="2">
        <v>5</v>
      </c>
      <c r="E41" s="2" t="s">
        <v>184</v>
      </c>
      <c r="F41" s="2" t="s">
        <v>185</v>
      </c>
      <c r="G41" s="2" t="s">
        <v>209</v>
      </c>
      <c r="H41" s="2" t="s">
        <v>65</v>
      </c>
      <c r="I41" s="2" t="s">
        <v>242</v>
      </c>
      <c r="J41" s="2" t="s">
        <v>67</v>
      </c>
      <c r="K41" s="2" t="s">
        <v>243</v>
      </c>
      <c r="L41" s="2" t="s">
        <v>190</v>
      </c>
      <c r="M41" s="2">
        <v>5</v>
      </c>
      <c r="N41" s="2">
        <v>4</v>
      </c>
      <c r="O41" s="3" t="s">
        <v>29</v>
      </c>
      <c r="P41" s="2" t="s">
        <v>244</v>
      </c>
      <c r="Q41" s="2" t="s">
        <v>213</v>
      </c>
      <c r="R41" s="2" t="s">
        <v>32</v>
      </c>
      <c r="S41" s="2" t="s">
        <v>245</v>
      </c>
    </row>
    <row r="42" spans="1:19" x14ac:dyDescent="0.25">
      <c r="A42" s="2">
        <v>41</v>
      </c>
      <c r="B42" s="2" t="s">
        <v>19</v>
      </c>
      <c r="C42" s="2" t="s">
        <v>246</v>
      </c>
      <c r="D42" s="2">
        <v>5</v>
      </c>
      <c r="E42" s="2" t="s">
        <v>247</v>
      </c>
      <c r="F42" s="2" t="s">
        <v>248</v>
      </c>
      <c r="G42" s="2" t="s">
        <v>160</v>
      </c>
      <c r="H42" s="2" t="s">
        <v>24</v>
      </c>
      <c r="I42" s="2" t="s">
        <v>249</v>
      </c>
      <c r="J42" s="2" t="s">
        <v>104</v>
      </c>
      <c r="K42" s="2" t="s">
        <v>250</v>
      </c>
      <c r="L42" s="2" t="s">
        <v>163</v>
      </c>
      <c r="M42" s="2">
        <v>4</v>
      </c>
      <c r="N42" s="2">
        <v>1</v>
      </c>
      <c r="O42" s="3" t="s">
        <v>29</v>
      </c>
      <c r="P42" s="2" t="s">
        <v>251</v>
      </c>
      <c r="Q42" s="2" t="s">
        <v>252</v>
      </c>
      <c r="R42" s="2" t="s">
        <v>253</v>
      </c>
      <c r="S42" s="2" t="s">
        <v>254</v>
      </c>
    </row>
    <row r="43" spans="1:19" x14ac:dyDescent="0.25">
      <c r="A43" s="2">
        <v>42</v>
      </c>
      <c r="B43" s="2" t="s">
        <v>19</v>
      </c>
      <c r="C43" s="2" t="s">
        <v>246</v>
      </c>
      <c r="D43" s="2">
        <v>5</v>
      </c>
      <c r="E43" s="2" t="s">
        <v>247</v>
      </c>
      <c r="F43" s="2" t="s">
        <v>248</v>
      </c>
      <c r="G43" s="2" t="s">
        <v>160</v>
      </c>
      <c r="H43" s="2" t="s">
        <v>48</v>
      </c>
      <c r="I43" s="2" t="s">
        <v>168</v>
      </c>
      <c r="J43" s="2" t="s">
        <v>169</v>
      </c>
      <c r="K43" s="2" t="s">
        <v>170</v>
      </c>
      <c r="L43" s="2" t="s">
        <v>163</v>
      </c>
      <c r="M43" s="2">
        <v>4</v>
      </c>
      <c r="N43" s="2">
        <v>1</v>
      </c>
      <c r="O43" s="3" t="s">
        <v>29</v>
      </c>
      <c r="P43" s="2" t="s">
        <v>255</v>
      </c>
      <c r="Q43" s="2" t="s">
        <v>252</v>
      </c>
      <c r="R43" s="2" t="s">
        <v>253</v>
      </c>
      <c r="S43" s="2" t="s">
        <v>256</v>
      </c>
    </row>
    <row r="44" spans="1:19" x14ac:dyDescent="0.25">
      <c r="A44" s="2">
        <v>43</v>
      </c>
      <c r="B44" s="2" t="s">
        <v>19</v>
      </c>
      <c r="C44" s="2" t="s">
        <v>246</v>
      </c>
      <c r="D44" s="2">
        <v>5</v>
      </c>
      <c r="E44" s="2" t="s">
        <v>247</v>
      </c>
      <c r="F44" s="2" t="s">
        <v>248</v>
      </c>
      <c r="G44" s="2" t="s">
        <v>160</v>
      </c>
      <c r="H44" s="2" t="s">
        <v>55</v>
      </c>
      <c r="I44" s="2" t="s">
        <v>173</v>
      </c>
      <c r="J44" s="2" t="s">
        <v>174</v>
      </c>
      <c r="K44" s="2" t="s">
        <v>175</v>
      </c>
      <c r="L44" s="2" t="s">
        <v>163</v>
      </c>
      <c r="M44" s="2">
        <v>4</v>
      </c>
      <c r="N44" s="2">
        <v>1</v>
      </c>
      <c r="O44" s="3" t="s">
        <v>29</v>
      </c>
      <c r="P44" s="2" t="s">
        <v>257</v>
      </c>
      <c r="Q44" s="2" t="s">
        <v>252</v>
      </c>
      <c r="R44" s="2" t="s">
        <v>253</v>
      </c>
      <c r="S44" s="2" t="s">
        <v>258</v>
      </c>
    </row>
    <row r="45" spans="1:19" x14ac:dyDescent="0.25">
      <c r="A45" s="2">
        <v>44</v>
      </c>
      <c r="B45" s="2" t="s">
        <v>19</v>
      </c>
      <c r="C45" s="2" t="s">
        <v>246</v>
      </c>
      <c r="D45" s="2">
        <v>5</v>
      </c>
      <c r="E45" s="2" t="s">
        <v>247</v>
      </c>
      <c r="F45" s="2" t="s">
        <v>248</v>
      </c>
      <c r="G45" s="2" t="s">
        <v>160</v>
      </c>
      <c r="H45" s="2" t="s">
        <v>65</v>
      </c>
      <c r="I45" s="2" t="s">
        <v>259</v>
      </c>
      <c r="J45" s="2" t="s">
        <v>67</v>
      </c>
      <c r="K45" s="2" t="s">
        <v>260</v>
      </c>
      <c r="L45" s="2" t="s">
        <v>180</v>
      </c>
      <c r="M45" s="2">
        <v>5</v>
      </c>
      <c r="N45" s="2">
        <v>1</v>
      </c>
      <c r="O45" s="3" t="s">
        <v>29</v>
      </c>
      <c r="P45" s="2" t="s">
        <v>261</v>
      </c>
      <c r="Q45" s="2" t="s">
        <v>252</v>
      </c>
      <c r="R45" s="2" t="s">
        <v>253</v>
      </c>
      <c r="S45" s="2" t="s">
        <v>262</v>
      </c>
    </row>
    <row r="46" spans="1:19" x14ac:dyDescent="0.25">
      <c r="A46" s="2">
        <v>45</v>
      </c>
      <c r="B46" s="2" t="s">
        <v>19</v>
      </c>
      <c r="C46" s="2" t="s">
        <v>263</v>
      </c>
      <c r="D46" s="2">
        <v>5</v>
      </c>
      <c r="E46" s="2" t="s">
        <v>264</v>
      </c>
      <c r="F46" s="2" t="s">
        <v>265</v>
      </c>
      <c r="G46" s="2" t="s">
        <v>266</v>
      </c>
      <c r="H46" s="2" t="s">
        <v>24</v>
      </c>
      <c r="I46" s="2" t="s">
        <v>267</v>
      </c>
      <c r="J46" s="2" t="s">
        <v>104</v>
      </c>
      <c r="K46" s="2" t="s">
        <v>268</v>
      </c>
      <c r="L46" s="2" t="s">
        <v>269</v>
      </c>
      <c r="M46" s="2">
        <v>4</v>
      </c>
      <c r="N46" s="2">
        <v>1</v>
      </c>
      <c r="O46" s="3" t="s">
        <v>29</v>
      </c>
      <c r="P46" s="2" t="s">
        <v>270</v>
      </c>
      <c r="Q46" s="2" t="s">
        <v>271</v>
      </c>
      <c r="R46" s="2" t="s">
        <v>272</v>
      </c>
      <c r="S46" s="2" t="s">
        <v>273</v>
      </c>
    </row>
    <row r="47" spans="1:19" x14ac:dyDescent="0.25">
      <c r="A47" s="2">
        <v>46</v>
      </c>
      <c r="B47" s="2" t="s">
        <v>19</v>
      </c>
      <c r="C47" s="2" t="s">
        <v>263</v>
      </c>
      <c r="D47" s="2">
        <v>5</v>
      </c>
      <c r="E47" s="2" t="s">
        <v>264</v>
      </c>
      <c r="F47" s="2" t="s">
        <v>265</v>
      </c>
      <c r="G47" s="2" t="s">
        <v>266</v>
      </c>
      <c r="H47" s="2" t="s">
        <v>48</v>
      </c>
      <c r="I47" s="2" t="s">
        <v>274</v>
      </c>
      <c r="J47" s="2" t="s">
        <v>275</v>
      </c>
      <c r="K47" s="2" t="s">
        <v>276</v>
      </c>
      <c r="L47" s="2" t="s">
        <v>269</v>
      </c>
      <c r="M47" s="2">
        <v>4</v>
      </c>
      <c r="N47" s="2">
        <v>1</v>
      </c>
      <c r="O47" s="3" t="s">
        <v>29</v>
      </c>
      <c r="P47" s="2" t="s">
        <v>277</v>
      </c>
      <c r="Q47" s="2" t="s">
        <v>271</v>
      </c>
      <c r="R47" s="2" t="s">
        <v>272</v>
      </c>
      <c r="S47" s="2" t="s">
        <v>278</v>
      </c>
    </row>
    <row r="48" spans="1:19" x14ac:dyDescent="0.25">
      <c r="A48" s="2">
        <v>47</v>
      </c>
      <c r="B48" s="2" t="s">
        <v>19</v>
      </c>
      <c r="C48" s="2" t="s">
        <v>263</v>
      </c>
      <c r="D48" s="2">
        <v>5</v>
      </c>
      <c r="E48" s="2" t="s">
        <v>264</v>
      </c>
      <c r="F48" s="2" t="s">
        <v>265</v>
      </c>
      <c r="G48" s="2" t="s">
        <v>266</v>
      </c>
      <c r="H48" s="2" t="s">
        <v>55</v>
      </c>
      <c r="I48" s="2" t="s">
        <v>279</v>
      </c>
      <c r="J48" s="2" t="s">
        <v>280</v>
      </c>
      <c r="K48" s="2" t="s">
        <v>281</v>
      </c>
      <c r="L48" s="2" t="s">
        <v>269</v>
      </c>
      <c r="M48" s="2">
        <v>4</v>
      </c>
      <c r="N48" s="2">
        <v>1</v>
      </c>
      <c r="O48" s="3" t="s">
        <v>29</v>
      </c>
      <c r="P48" s="2" t="s">
        <v>282</v>
      </c>
      <c r="Q48" s="2" t="s">
        <v>271</v>
      </c>
      <c r="R48" s="2" t="s">
        <v>272</v>
      </c>
      <c r="S48" s="2" t="s">
        <v>283</v>
      </c>
    </row>
    <row r="49" spans="1:19" x14ac:dyDescent="0.25">
      <c r="A49" s="2">
        <v>48</v>
      </c>
      <c r="B49" s="2" t="s">
        <v>19</v>
      </c>
      <c r="C49" s="2" t="s">
        <v>263</v>
      </c>
      <c r="D49" s="2">
        <v>5</v>
      </c>
      <c r="E49" s="2" t="s">
        <v>264</v>
      </c>
      <c r="F49" s="2" t="s">
        <v>265</v>
      </c>
      <c r="G49" s="2" t="s">
        <v>266</v>
      </c>
      <c r="H49" s="2" t="s">
        <v>65</v>
      </c>
      <c r="I49" s="2" t="s">
        <v>284</v>
      </c>
      <c r="J49" s="2" t="s">
        <v>67</v>
      </c>
      <c r="K49" s="2" t="s">
        <v>285</v>
      </c>
      <c r="L49" s="2" t="s">
        <v>286</v>
      </c>
      <c r="M49" s="2">
        <v>5</v>
      </c>
      <c r="N49" s="2">
        <v>1</v>
      </c>
      <c r="O49" s="3" t="s">
        <v>29</v>
      </c>
      <c r="P49" s="2" t="s">
        <v>287</v>
      </c>
      <c r="Q49" s="2" t="s">
        <v>271</v>
      </c>
      <c r="R49" s="2" t="s">
        <v>272</v>
      </c>
      <c r="S49" s="2" t="s">
        <v>288</v>
      </c>
    </row>
    <row r="50" spans="1:19" x14ac:dyDescent="0.25">
      <c r="A50" s="2">
        <v>49</v>
      </c>
      <c r="B50" s="2" t="s">
        <v>19</v>
      </c>
      <c r="C50" s="2" t="s">
        <v>289</v>
      </c>
      <c r="D50" s="2">
        <v>5</v>
      </c>
      <c r="E50" s="2" t="s">
        <v>290</v>
      </c>
      <c r="F50" s="2" t="s">
        <v>291</v>
      </c>
      <c r="G50" s="2" t="s">
        <v>292</v>
      </c>
      <c r="H50" s="2" t="s">
        <v>24</v>
      </c>
      <c r="I50" s="2" t="s">
        <v>293</v>
      </c>
      <c r="J50" s="2" t="s">
        <v>104</v>
      </c>
      <c r="K50" s="2" t="s">
        <v>294</v>
      </c>
      <c r="L50" s="2" t="s">
        <v>295</v>
      </c>
      <c r="M50" s="2">
        <v>3</v>
      </c>
      <c r="N50" s="2">
        <v>1</v>
      </c>
      <c r="O50" s="3" t="s">
        <v>29</v>
      </c>
      <c r="P50" s="2" t="s">
        <v>296</v>
      </c>
      <c r="Q50" s="2" t="s">
        <v>297</v>
      </c>
      <c r="R50" s="2" t="s">
        <v>298</v>
      </c>
      <c r="S50" s="2" t="s">
        <v>299</v>
      </c>
    </row>
    <row r="51" spans="1:19" x14ac:dyDescent="0.25">
      <c r="A51" s="2">
        <v>50</v>
      </c>
      <c r="B51" s="2" t="s">
        <v>19</v>
      </c>
      <c r="C51" s="2" t="s">
        <v>289</v>
      </c>
      <c r="D51" s="2">
        <v>5</v>
      </c>
      <c r="E51" s="2" t="s">
        <v>290</v>
      </c>
      <c r="F51" s="2" t="s">
        <v>291</v>
      </c>
      <c r="G51" s="2" t="s">
        <v>292</v>
      </c>
      <c r="H51" s="2" t="s">
        <v>48</v>
      </c>
      <c r="I51" s="2" t="s">
        <v>300</v>
      </c>
      <c r="J51" s="2" t="s">
        <v>301</v>
      </c>
      <c r="K51" s="2" t="s">
        <v>302</v>
      </c>
      <c r="L51" s="2" t="s">
        <v>295</v>
      </c>
      <c r="M51" s="2">
        <v>4</v>
      </c>
      <c r="N51" s="2">
        <v>1</v>
      </c>
      <c r="O51" s="3" t="s">
        <v>29</v>
      </c>
      <c r="P51" s="2" t="s">
        <v>303</v>
      </c>
      <c r="Q51" s="2" t="s">
        <v>297</v>
      </c>
      <c r="R51" s="2" t="s">
        <v>298</v>
      </c>
      <c r="S51" s="2" t="s">
        <v>304</v>
      </c>
    </row>
    <row r="52" spans="1:19" x14ac:dyDescent="0.25">
      <c r="A52" s="2">
        <v>51</v>
      </c>
      <c r="B52" s="2" t="s">
        <v>19</v>
      </c>
      <c r="C52" s="2" t="s">
        <v>289</v>
      </c>
      <c r="D52" s="2">
        <v>5</v>
      </c>
      <c r="E52" s="2" t="s">
        <v>290</v>
      </c>
      <c r="F52" s="2" t="s">
        <v>291</v>
      </c>
      <c r="G52" s="2" t="s">
        <v>292</v>
      </c>
      <c r="H52" s="2" t="s">
        <v>55</v>
      </c>
      <c r="I52" s="2" t="s">
        <v>305</v>
      </c>
      <c r="J52" s="2" t="s">
        <v>306</v>
      </c>
      <c r="K52" s="2" t="s">
        <v>307</v>
      </c>
      <c r="L52" s="2" t="s">
        <v>295</v>
      </c>
      <c r="M52" s="2">
        <v>4</v>
      </c>
      <c r="N52" s="2">
        <v>1</v>
      </c>
      <c r="O52" s="3" t="s">
        <v>29</v>
      </c>
      <c r="P52" s="2" t="s">
        <v>308</v>
      </c>
      <c r="Q52" s="2" t="s">
        <v>297</v>
      </c>
      <c r="R52" s="2" t="s">
        <v>298</v>
      </c>
      <c r="S52" s="2" t="s">
        <v>309</v>
      </c>
    </row>
    <row r="53" spans="1:19" x14ac:dyDescent="0.25">
      <c r="A53" s="2">
        <v>52</v>
      </c>
      <c r="B53" s="2" t="s">
        <v>19</v>
      </c>
      <c r="C53" s="2" t="s">
        <v>289</v>
      </c>
      <c r="D53" s="2">
        <v>5</v>
      </c>
      <c r="E53" s="2" t="s">
        <v>290</v>
      </c>
      <c r="F53" s="2" t="s">
        <v>291</v>
      </c>
      <c r="G53" s="2" t="s">
        <v>292</v>
      </c>
      <c r="H53" s="2" t="s">
        <v>65</v>
      </c>
      <c r="I53" s="2" t="s">
        <v>310</v>
      </c>
      <c r="J53" s="2" t="s">
        <v>67</v>
      </c>
      <c r="K53" s="2" t="s">
        <v>311</v>
      </c>
      <c r="L53" s="2" t="s">
        <v>312</v>
      </c>
      <c r="M53" s="2">
        <v>5</v>
      </c>
      <c r="N53" s="2">
        <v>1</v>
      </c>
      <c r="O53" s="3" t="s">
        <v>29</v>
      </c>
      <c r="P53" s="2" t="s">
        <v>313</v>
      </c>
      <c r="Q53" s="2" t="s">
        <v>297</v>
      </c>
      <c r="R53" s="2" t="s">
        <v>298</v>
      </c>
      <c r="S53" s="2" t="s">
        <v>314</v>
      </c>
    </row>
    <row r="54" spans="1:19" x14ac:dyDescent="0.25">
      <c r="A54" s="2">
        <v>53</v>
      </c>
      <c r="B54" s="2" t="s">
        <v>19</v>
      </c>
      <c r="C54" s="2" t="s">
        <v>315</v>
      </c>
      <c r="D54" s="2">
        <v>4</v>
      </c>
      <c r="E54" s="2" t="s">
        <v>316</v>
      </c>
      <c r="F54" s="2" t="s">
        <v>317</v>
      </c>
      <c r="G54" s="2" t="s">
        <v>318</v>
      </c>
      <c r="H54" s="2" t="s">
        <v>24</v>
      </c>
      <c r="I54" s="2" t="s">
        <v>319</v>
      </c>
      <c r="J54" s="2" t="s">
        <v>104</v>
      </c>
      <c r="K54" s="2" t="s">
        <v>320</v>
      </c>
      <c r="L54" s="2" t="s">
        <v>321</v>
      </c>
      <c r="M54" s="2">
        <v>4</v>
      </c>
      <c r="N54" s="2">
        <v>1</v>
      </c>
      <c r="O54" s="3" t="s">
        <v>29</v>
      </c>
      <c r="P54" s="2" t="s">
        <v>322</v>
      </c>
      <c r="Q54" s="2" t="s">
        <v>323</v>
      </c>
      <c r="R54" s="2" t="s">
        <v>324</v>
      </c>
      <c r="S54" s="2" t="s">
        <v>325</v>
      </c>
    </row>
    <row r="55" spans="1:19" x14ac:dyDescent="0.25">
      <c r="A55" s="2">
        <v>54</v>
      </c>
      <c r="B55" s="2" t="s">
        <v>19</v>
      </c>
      <c r="C55" s="2" t="s">
        <v>315</v>
      </c>
      <c r="D55" s="2">
        <v>4</v>
      </c>
      <c r="E55" s="2" t="s">
        <v>316</v>
      </c>
      <c r="F55" s="2" t="s">
        <v>317</v>
      </c>
      <c r="G55" s="2" t="s">
        <v>318</v>
      </c>
      <c r="H55" s="2" t="s">
        <v>48</v>
      </c>
      <c r="I55" s="2" t="s">
        <v>326</v>
      </c>
      <c r="J55" s="2" t="s">
        <v>327</v>
      </c>
      <c r="K55" s="2" t="s">
        <v>328</v>
      </c>
      <c r="L55" s="2" t="s">
        <v>321</v>
      </c>
      <c r="M55" s="2">
        <v>4</v>
      </c>
      <c r="N55" s="2">
        <v>1</v>
      </c>
      <c r="O55" s="3" t="s">
        <v>29</v>
      </c>
      <c r="P55" s="2" t="s">
        <v>329</v>
      </c>
      <c r="Q55" s="2" t="s">
        <v>323</v>
      </c>
      <c r="R55" s="2" t="s">
        <v>324</v>
      </c>
      <c r="S55" s="2" t="s">
        <v>330</v>
      </c>
    </row>
    <row r="56" spans="1:19" x14ac:dyDescent="0.25">
      <c r="A56" s="2">
        <v>55</v>
      </c>
      <c r="B56" s="2" t="s">
        <v>19</v>
      </c>
      <c r="C56" s="2" t="s">
        <v>315</v>
      </c>
      <c r="D56" s="2">
        <v>4</v>
      </c>
      <c r="E56" s="2" t="s">
        <v>316</v>
      </c>
      <c r="F56" s="2" t="s">
        <v>317</v>
      </c>
      <c r="G56" s="2" t="s">
        <v>318</v>
      </c>
      <c r="H56" s="2" t="s">
        <v>55</v>
      </c>
      <c r="I56" s="2" t="s">
        <v>331</v>
      </c>
      <c r="J56" s="2" t="s">
        <v>332</v>
      </c>
      <c r="K56" s="2" t="s">
        <v>333</v>
      </c>
      <c r="L56" s="2" t="s">
        <v>321</v>
      </c>
      <c r="M56" s="2">
        <v>4</v>
      </c>
      <c r="N56" s="2">
        <v>1</v>
      </c>
      <c r="O56" s="3" t="s">
        <v>29</v>
      </c>
      <c r="P56" s="2" t="s">
        <v>334</v>
      </c>
      <c r="Q56" s="2" t="s">
        <v>323</v>
      </c>
      <c r="R56" s="2" t="s">
        <v>324</v>
      </c>
      <c r="S56" s="2" t="s">
        <v>335</v>
      </c>
    </row>
    <row r="57" spans="1:19" x14ac:dyDescent="0.25">
      <c r="A57" s="2">
        <v>56</v>
      </c>
      <c r="B57" s="2" t="s">
        <v>19</v>
      </c>
      <c r="C57" s="2" t="s">
        <v>315</v>
      </c>
      <c r="D57" s="2">
        <v>4</v>
      </c>
      <c r="E57" s="2" t="s">
        <v>316</v>
      </c>
      <c r="F57" s="2" t="s">
        <v>317</v>
      </c>
      <c r="G57" s="2" t="s">
        <v>318</v>
      </c>
      <c r="H57" s="2" t="s">
        <v>65</v>
      </c>
      <c r="I57" s="2" t="s">
        <v>336</v>
      </c>
      <c r="J57" s="2" t="s">
        <v>67</v>
      </c>
      <c r="K57" s="2" t="s">
        <v>337</v>
      </c>
      <c r="L57" s="2" t="s">
        <v>338</v>
      </c>
      <c r="M57" s="2">
        <v>5</v>
      </c>
      <c r="N57" s="2">
        <v>1</v>
      </c>
      <c r="O57" s="3" t="s">
        <v>29</v>
      </c>
      <c r="P57" s="2" t="s">
        <v>339</v>
      </c>
      <c r="Q57" s="2" t="s">
        <v>323</v>
      </c>
      <c r="R57" s="2" t="s">
        <v>324</v>
      </c>
      <c r="S57" s="2" t="s">
        <v>340</v>
      </c>
    </row>
    <row r="58" spans="1:19" x14ac:dyDescent="0.25">
      <c r="A58" s="2">
        <v>57</v>
      </c>
      <c r="B58" s="2" t="s">
        <v>341</v>
      </c>
      <c r="C58" s="2" t="s">
        <v>342</v>
      </c>
      <c r="D58" s="2">
        <v>5</v>
      </c>
      <c r="E58" s="2" t="s">
        <v>343</v>
      </c>
      <c r="F58" s="2" t="s">
        <v>344</v>
      </c>
      <c r="G58" s="2" t="s">
        <v>345</v>
      </c>
      <c r="H58" s="2" t="s">
        <v>24</v>
      </c>
      <c r="I58" s="2" t="s">
        <v>346</v>
      </c>
      <c r="J58" s="2" t="s">
        <v>104</v>
      </c>
      <c r="K58" s="2" t="s">
        <v>347</v>
      </c>
      <c r="L58" s="2" t="s">
        <v>348</v>
      </c>
      <c r="M58" s="2">
        <v>4</v>
      </c>
      <c r="N58" s="2">
        <v>1</v>
      </c>
      <c r="O58" s="3" t="s">
        <v>29</v>
      </c>
      <c r="P58" s="2" t="s">
        <v>349</v>
      </c>
      <c r="Q58" s="2" t="s">
        <v>350</v>
      </c>
      <c r="R58" s="2" t="s">
        <v>351</v>
      </c>
      <c r="S58" s="2" t="s">
        <v>352</v>
      </c>
    </row>
    <row r="59" spans="1:19" x14ac:dyDescent="0.25">
      <c r="A59" s="2">
        <v>58</v>
      </c>
      <c r="B59" s="2" t="s">
        <v>341</v>
      </c>
      <c r="C59" s="2" t="s">
        <v>342</v>
      </c>
      <c r="D59" s="2">
        <v>5</v>
      </c>
      <c r="E59" s="2" t="s">
        <v>343</v>
      </c>
      <c r="F59" s="2" t="s">
        <v>344</v>
      </c>
      <c r="G59" s="2" t="s">
        <v>345</v>
      </c>
      <c r="H59" s="2" t="s">
        <v>48</v>
      </c>
      <c r="I59" s="2" t="s">
        <v>353</v>
      </c>
      <c r="J59" s="2" t="s">
        <v>354</v>
      </c>
      <c r="K59" s="2" t="s">
        <v>355</v>
      </c>
      <c r="L59" s="2" t="s">
        <v>348</v>
      </c>
      <c r="M59" s="2">
        <v>2</v>
      </c>
      <c r="N59" s="2">
        <v>1</v>
      </c>
      <c r="O59" s="3" t="s">
        <v>29</v>
      </c>
      <c r="P59" s="2" t="s">
        <v>356</v>
      </c>
      <c r="Q59" s="2" t="s">
        <v>350</v>
      </c>
      <c r="R59" s="2" t="s">
        <v>351</v>
      </c>
      <c r="S59" s="2" t="s">
        <v>357</v>
      </c>
    </row>
    <row r="60" spans="1:19" x14ac:dyDescent="0.25">
      <c r="A60" s="2">
        <v>59</v>
      </c>
      <c r="B60" s="2" t="s">
        <v>341</v>
      </c>
      <c r="C60" s="2" t="s">
        <v>342</v>
      </c>
      <c r="D60" s="2">
        <v>5</v>
      </c>
      <c r="E60" s="2" t="s">
        <v>343</v>
      </c>
      <c r="F60" s="2" t="s">
        <v>344</v>
      </c>
      <c r="G60" s="2" t="s">
        <v>345</v>
      </c>
      <c r="H60" s="2" t="s">
        <v>55</v>
      </c>
      <c r="I60" s="2" t="s">
        <v>358</v>
      </c>
      <c r="J60" s="2" t="s">
        <v>359</v>
      </c>
      <c r="K60" s="2" t="s">
        <v>360</v>
      </c>
      <c r="L60" s="2" t="s">
        <v>348</v>
      </c>
      <c r="M60" s="2">
        <v>4</v>
      </c>
      <c r="N60" s="2">
        <v>1</v>
      </c>
      <c r="O60" s="3" t="s">
        <v>29</v>
      </c>
      <c r="P60" s="2" t="s">
        <v>361</v>
      </c>
      <c r="Q60" s="2" t="s">
        <v>350</v>
      </c>
      <c r="R60" s="2" t="s">
        <v>351</v>
      </c>
      <c r="S60" s="2" t="s">
        <v>362</v>
      </c>
    </row>
    <row r="61" spans="1:19" x14ac:dyDescent="0.25">
      <c r="A61" s="2">
        <v>60</v>
      </c>
      <c r="B61" s="2" t="s">
        <v>341</v>
      </c>
      <c r="C61" s="2" t="s">
        <v>342</v>
      </c>
      <c r="D61" s="2">
        <v>5</v>
      </c>
      <c r="E61" s="2" t="s">
        <v>343</v>
      </c>
      <c r="F61" s="2" t="s">
        <v>344</v>
      </c>
      <c r="G61" s="2" t="s">
        <v>345</v>
      </c>
      <c r="H61" s="2" t="s">
        <v>65</v>
      </c>
      <c r="I61" s="2" t="s">
        <v>363</v>
      </c>
      <c r="J61" s="2" t="s">
        <v>67</v>
      </c>
      <c r="K61" s="2" t="s">
        <v>364</v>
      </c>
      <c r="L61" s="2" t="s">
        <v>365</v>
      </c>
      <c r="M61" s="2">
        <v>5</v>
      </c>
      <c r="N61" s="2">
        <v>1</v>
      </c>
      <c r="O61" s="3" t="s">
        <v>29</v>
      </c>
      <c r="P61" s="2" t="s">
        <v>366</v>
      </c>
      <c r="Q61" s="2" t="s">
        <v>350</v>
      </c>
      <c r="R61" s="2" t="s">
        <v>351</v>
      </c>
      <c r="S61" s="2" t="s">
        <v>367</v>
      </c>
    </row>
    <row r="62" spans="1:19" x14ac:dyDescent="0.25">
      <c r="A62" s="2">
        <v>61</v>
      </c>
      <c r="B62" s="2" t="s">
        <v>341</v>
      </c>
      <c r="C62" s="2" t="s">
        <v>368</v>
      </c>
      <c r="D62" s="2">
        <v>5</v>
      </c>
      <c r="E62" s="2" t="s">
        <v>369</v>
      </c>
      <c r="F62" s="2" t="s">
        <v>370</v>
      </c>
      <c r="G62" s="2" t="s">
        <v>371</v>
      </c>
      <c r="H62" s="2" t="s">
        <v>24</v>
      </c>
      <c r="I62" s="2" t="s">
        <v>372</v>
      </c>
      <c r="J62" s="2" t="s">
        <v>104</v>
      </c>
      <c r="K62" s="2" t="s">
        <v>373</v>
      </c>
      <c r="L62" s="2" t="s">
        <v>374</v>
      </c>
      <c r="M62" s="2">
        <v>4</v>
      </c>
      <c r="N62" s="2">
        <v>4</v>
      </c>
      <c r="O62" s="3" t="s">
        <v>29</v>
      </c>
      <c r="P62" s="2" t="s">
        <v>375</v>
      </c>
      <c r="Q62" s="2" t="s">
        <v>376</v>
      </c>
      <c r="R62" s="2" t="s">
        <v>377</v>
      </c>
      <c r="S62" s="2" t="s">
        <v>378</v>
      </c>
    </row>
    <row r="63" spans="1:19" x14ac:dyDescent="0.25">
      <c r="A63" s="2">
        <v>62</v>
      </c>
      <c r="B63" s="2" t="s">
        <v>341</v>
      </c>
      <c r="C63" s="2" t="s">
        <v>368</v>
      </c>
      <c r="D63" s="2">
        <v>5</v>
      </c>
      <c r="E63" s="2" t="s">
        <v>369</v>
      </c>
      <c r="F63" s="2" t="s">
        <v>370</v>
      </c>
      <c r="G63" s="2" t="s">
        <v>371</v>
      </c>
      <c r="H63" s="2" t="s">
        <v>48</v>
      </c>
      <c r="I63" s="2" t="s">
        <v>379</v>
      </c>
      <c r="J63" s="2" t="s">
        <v>380</v>
      </c>
      <c r="K63" s="2" t="s">
        <v>381</v>
      </c>
      <c r="L63" s="2" t="s">
        <v>374</v>
      </c>
      <c r="M63" s="2">
        <v>4</v>
      </c>
      <c r="N63" s="2">
        <v>4</v>
      </c>
      <c r="O63" s="3" t="s">
        <v>29</v>
      </c>
      <c r="P63" s="2" t="s">
        <v>382</v>
      </c>
      <c r="Q63" s="2" t="s">
        <v>376</v>
      </c>
      <c r="R63" s="2" t="s">
        <v>377</v>
      </c>
      <c r="S63" s="2" t="s">
        <v>383</v>
      </c>
    </row>
    <row r="64" spans="1:19" x14ac:dyDescent="0.25">
      <c r="A64" s="2">
        <v>63</v>
      </c>
      <c r="B64" s="2" t="s">
        <v>341</v>
      </c>
      <c r="C64" s="2" t="s">
        <v>368</v>
      </c>
      <c r="D64" s="2">
        <v>5</v>
      </c>
      <c r="E64" s="2" t="s">
        <v>369</v>
      </c>
      <c r="F64" s="2" t="s">
        <v>370</v>
      </c>
      <c r="G64" s="2" t="s">
        <v>371</v>
      </c>
      <c r="H64" s="2" t="s">
        <v>55</v>
      </c>
      <c r="I64" s="2" t="s">
        <v>384</v>
      </c>
      <c r="J64" s="2" t="s">
        <v>385</v>
      </c>
      <c r="K64" s="2" t="s">
        <v>386</v>
      </c>
      <c r="L64" s="2" t="s">
        <v>374</v>
      </c>
      <c r="M64" s="2">
        <v>4</v>
      </c>
      <c r="N64" s="2">
        <v>4</v>
      </c>
      <c r="O64" s="3" t="s">
        <v>29</v>
      </c>
      <c r="P64" s="2" t="s">
        <v>387</v>
      </c>
      <c r="Q64" s="2" t="s">
        <v>376</v>
      </c>
      <c r="R64" s="2" t="s">
        <v>377</v>
      </c>
      <c r="S64" s="2" t="s">
        <v>388</v>
      </c>
    </row>
    <row r="65" spans="1:19" x14ac:dyDescent="0.25">
      <c r="A65" s="2">
        <v>64</v>
      </c>
      <c r="B65" s="2" t="s">
        <v>341</v>
      </c>
      <c r="C65" s="2" t="s">
        <v>389</v>
      </c>
      <c r="D65" s="2">
        <v>5</v>
      </c>
      <c r="E65" s="2" t="s">
        <v>369</v>
      </c>
      <c r="F65" s="2" t="s">
        <v>370</v>
      </c>
      <c r="G65" s="2" t="s">
        <v>390</v>
      </c>
      <c r="H65" s="2" t="s">
        <v>55</v>
      </c>
      <c r="I65" s="2" t="s">
        <v>384</v>
      </c>
      <c r="J65" s="2" t="s">
        <v>391</v>
      </c>
      <c r="K65" s="2" t="s">
        <v>392</v>
      </c>
      <c r="L65" s="2" t="s">
        <v>374</v>
      </c>
      <c r="M65" s="2">
        <v>4</v>
      </c>
      <c r="N65" s="2">
        <v>4</v>
      </c>
      <c r="O65" s="3" t="s">
        <v>29</v>
      </c>
      <c r="P65" s="2" t="s">
        <v>393</v>
      </c>
      <c r="Q65" s="2" t="s">
        <v>394</v>
      </c>
      <c r="R65" s="2" t="s">
        <v>395</v>
      </c>
      <c r="S65" s="2" t="s">
        <v>396</v>
      </c>
    </row>
    <row r="66" spans="1:19" x14ac:dyDescent="0.25">
      <c r="A66" s="2">
        <v>65</v>
      </c>
      <c r="B66" s="2" t="s">
        <v>341</v>
      </c>
      <c r="C66" s="2" t="s">
        <v>389</v>
      </c>
      <c r="D66" s="2">
        <v>5</v>
      </c>
      <c r="E66" s="2" t="s">
        <v>369</v>
      </c>
      <c r="F66" s="2" t="s">
        <v>370</v>
      </c>
      <c r="G66" s="2" t="s">
        <v>390</v>
      </c>
      <c r="H66" s="2" t="s">
        <v>55</v>
      </c>
      <c r="I66" s="2" t="s">
        <v>384</v>
      </c>
      <c r="J66" s="2" t="s">
        <v>397</v>
      </c>
      <c r="K66" s="2" t="s">
        <v>392</v>
      </c>
      <c r="L66" s="2" t="s">
        <v>374</v>
      </c>
      <c r="M66" s="2">
        <v>4</v>
      </c>
      <c r="N66" s="2">
        <v>4</v>
      </c>
      <c r="O66" s="3" t="s">
        <v>29</v>
      </c>
      <c r="P66" s="2" t="s">
        <v>398</v>
      </c>
      <c r="Q66" s="2" t="s">
        <v>394</v>
      </c>
      <c r="R66" s="2" t="s">
        <v>395</v>
      </c>
      <c r="S66" s="2" t="s">
        <v>399</v>
      </c>
    </row>
    <row r="67" spans="1:19" x14ac:dyDescent="0.25">
      <c r="A67" s="2">
        <v>66</v>
      </c>
      <c r="B67" s="2" t="s">
        <v>341</v>
      </c>
      <c r="C67" s="2" t="s">
        <v>389</v>
      </c>
      <c r="D67" s="2">
        <v>5</v>
      </c>
      <c r="E67" s="2" t="s">
        <v>369</v>
      </c>
      <c r="F67" s="2" t="s">
        <v>370</v>
      </c>
      <c r="G67" s="2" t="s">
        <v>390</v>
      </c>
      <c r="H67" s="2" t="s">
        <v>55</v>
      </c>
      <c r="I67" s="2" t="s">
        <v>384</v>
      </c>
      <c r="J67" s="2" t="s">
        <v>400</v>
      </c>
      <c r="K67" s="2" t="s">
        <v>401</v>
      </c>
      <c r="L67" s="2" t="s">
        <v>374</v>
      </c>
      <c r="M67" s="2">
        <v>4</v>
      </c>
      <c r="N67" s="2">
        <v>4</v>
      </c>
      <c r="O67" s="3" t="s">
        <v>29</v>
      </c>
      <c r="P67" s="2" t="s">
        <v>402</v>
      </c>
      <c r="Q67" s="2" t="s">
        <v>394</v>
      </c>
      <c r="R67" s="2" t="s">
        <v>395</v>
      </c>
      <c r="S67" s="2" t="s">
        <v>403</v>
      </c>
    </row>
    <row r="68" spans="1:19" x14ac:dyDescent="0.25">
      <c r="A68" s="2">
        <v>67</v>
      </c>
      <c r="B68" s="2" t="s">
        <v>341</v>
      </c>
      <c r="C68" s="2" t="s">
        <v>389</v>
      </c>
      <c r="D68" s="2">
        <v>5</v>
      </c>
      <c r="E68" s="2" t="s">
        <v>369</v>
      </c>
      <c r="F68" s="2" t="s">
        <v>370</v>
      </c>
      <c r="G68" s="2" t="s">
        <v>390</v>
      </c>
      <c r="H68" s="2" t="s">
        <v>55</v>
      </c>
      <c r="I68" s="2" t="s">
        <v>404</v>
      </c>
      <c r="J68" s="2" t="s">
        <v>391</v>
      </c>
      <c r="K68" s="2" t="s">
        <v>405</v>
      </c>
      <c r="L68" s="2" t="s">
        <v>374</v>
      </c>
      <c r="M68" s="2">
        <v>3</v>
      </c>
      <c r="N68" s="2">
        <v>4</v>
      </c>
      <c r="O68" s="3" t="s">
        <v>29</v>
      </c>
      <c r="P68" s="2" t="s">
        <v>406</v>
      </c>
      <c r="Q68" s="2" t="s">
        <v>394</v>
      </c>
      <c r="R68" s="2" t="s">
        <v>395</v>
      </c>
      <c r="S68" s="2" t="s">
        <v>407</v>
      </c>
    </row>
    <row r="69" spans="1:19" x14ac:dyDescent="0.25">
      <c r="A69" s="2">
        <v>68</v>
      </c>
      <c r="B69" s="2" t="s">
        <v>341</v>
      </c>
      <c r="C69" s="2" t="s">
        <v>389</v>
      </c>
      <c r="D69" s="2">
        <v>5</v>
      </c>
      <c r="E69" s="2" t="s">
        <v>369</v>
      </c>
      <c r="F69" s="2" t="s">
        <v>370</v>
      </c>
      <c r="G69" s="2" t="s">
        <v>390</v>
      </c>
      <c r="H69" s="2" t="s">
        <v>55</v>
      </c>
      <c r="I69" s="2" t="s">
        <v>384</v>
      </c>
      <c r="J69" s="2" t="s">
        <v>408</v>
      </c>
      <c r="K69" s="2" t="s">
        <v>87</v>
      </c>
      <c r="L69" s="2" t="s">
        <v>217</v>
      </c>
      <c r="M69" s="2">
        <v>4</v>
      </c>
      <c r="N69" s="2">
        <v>4</v>
      </c>
      <c r="O69" s="3" t="s">
        <v>29</v>
      </c>
      <c r="P69" s="2" t="s">
        <v>409</v>
      </c>
      <c r="Q69" s="2" t="s">
        <v>394</v>
      </c>
      <c r="R69" s="2" t="s">
        <v>395</v>
      </c>
      <c r="S69" s="2" t="s">
        <v>410</v>
      </c>
    </row>
    <row r="70" spans="1:19" x14ac:dyDescent="0.25">
      <c r="A70" s="2">
        <v>69</v>
      </c>
      <c r="B70" s="2" t="s">
        <v>341</v>
      </c>
      <c r="C70" s="2" t="s">
        <v>389</v>
      </c>
      <c r="D70" s="2">
        <v>5</v>
      </c>
      <c r="E70" s="2" t="s">
        <v>369</v>
      </c>
      <c r="F70" s="2" t="s">
        <v>370</v>
      </c>
      <c r="G70" s="2" t="s">
        <v>390</v>
      </c>
      <c r="H70" s="2" t="s">
        <v>65</v>
      </c>
      <c r="I70" s="2" t="s">
        <v>411</v>
      </c>
      <c r="J70" s="2" t="s">
        <v>67</v>
      </c>
      <c r="K70" s="2" t="s">
        <v>412</v>
      </c>
      <c r="L70" s="2" t="s">
        <v>413</v>
      </c>
      <c r="M70" s="2">
        <v>4</v>
      </c>
      <c r="N70" s="2">
        <v>4</v>
      </c>
      <c r="O70" s="3" t="s">
        <v>29</v>
      </c>
      <c r="P70" s="2" t="s">
        <v>414</v>
      </c>
      <c r="Q70" s="2" t="s">
        <v>394</v>
      </c>
      <c r="R70" s="2" t="s">
        <v>395</v>
      </c>
      <c r="S70" s="2" t="s">
        <v>415</v>
      </c>
    </row>
    <row r="71" spans="1:19" x14ac:dyDescent="0.25">
      <c r="A71" s="2">
        <v>70</v>
      </c>
      <c r="B71" s="2" t="s">
        <v>341</v>
      </c>
      <c r="C71" s="2" t="s">
        <v>416</v>
      </c>
      <c r="D71" s="2">
        <v>4</v>
      </c>
      <c r="E71" s="2" t="s">
        <v>417</v>
      </c>
      <c r="F71" s="2" t="s">
        <v>418</v>
      </c>
      <c r="G71" s="2" t="s">
        <v>419</v>
      </c>
      <c r="H71" s="2" t="s">
        <v>24</v>
      </c>
      <c r="I71" s="2" t="s">
        <v>420</v>
      </c>
      <c r="J71" s="2" t="s">
        <v>104</v>
      </c>
      <c r="K71" s="2" t="s">
        <v>421</v>
      </c>
      <c r="L71" s="2" t="s">
        <v>422</v>
      </c>
      <c r="M71" s="2">
        <v>3</v>
      </c>
      <c r="N71" s="2">
        <v>1</v>
      </c>
      <c r="O71" s="3" t="s">
        <v>29</v>
      </c>
      <c r="P71" s="2" t="s">
        <v>423</v>
      </c>
      <c r="Q71" s="2" t="s">
        <v>424</v>
      </c>
      <c r="R71" s="2" t="s">
        <v>425</v>
      </c>
      <c r="S71" s="2" t="s">
        <v>426</v>
      </c>
    </row>
    <row r="72" spans="1:19" x14ac:dyDescent="0.25">
      <c r="A72" s="2">
        <v>71</v>
      </c>
      <c r="B72" s="2" t="s">
        <v>341</v>
      </c>
      <c r="C72" s="2" t="s">
        <v>416</v>
      </c>
      <c r="D72" s="2">
        <v>4</v>
      </c>
      <c r="E72" s="2" t="s">
        <v>417</v>
      </c>
      <c r="F72" s="2" t="s">
        <v>418</v>
      </c>
      <c r="G72" s="2" t="s">
        <v>419</v>
      </c>
      <c r="H72" s="2" t="s">
        <v>48</v>
      </c>
      <c r="I72" s="2" t="s">
        <v>427</v>
      </c>
      <c r="J72" s="2" t="s">
        <v>111</v>
      </c>
      <c r="K72" s="2" t="s">
        <v>428</v>
      </c>
      <c r="L72" s="2" t="s">
        <v>422</v>
      </c>
      <c r="M72" s="2">
        <v>4</v>
      </c>
      <c r="N72" s="2">
        <v>1</v>
      </c>
      <c r="O72" s="3" t="s">
        <v>29</v>
      </c>
      <c r="P72" s="2" t="s">
        <v>429</v>
      </c>
      <c r="Q72" s="2" t="s">
        <v>424</v>
      </c>
      <c r="R72" s="2" t="s">
        <v>425</v>
      </c>
      <c r="S72" s="2" t="s">
        <v>430</v>
      </c>
    </row>
    <row r="73" spans="1:19" x14ac:dyDescent="0.25">
      <c r="A73" s="2">
        <v>72</v>
      </c>
      <c r="B73" s="2" t="s">
        <v>341</v>
      </c>
      <c r="C73" s="2" t="s">
        <v>416</v>
      </c>
      <c r="D73" s="2">
        <v>4</v>
      </c>
      <c r="E73" s="2" t="s">
        <v>417</v>
      </c>
      <c r="F73" s="2" t="s">
        <v>418</v>
      </c>
      <c r="G73" s="2" t="s">
        <v>419</v>
      </c>
      <c r="H73" s="2" t="s">
        <v>55</v>
      </c>
      <c r="I73" s="2" t="s">
        <v>431</v>
      </c>
      <c r="J73" s="2" t="s">
        <v>432</v>
      </c>
      <c r="K73" s="2" t="s">
        <v>433</v>
      </c>
      <c r="L73" s="2" t="s">
        <v>422</v>
      </c>
      <c r="M73" s="2">
        <v>4</v>
      </c>
      <c r="N73" s="2">
        <v>1</v>
      </c>
      <c r="O73" s="3" t="s">
        <v>29</v>
      </c>
      <c r="P73" s="2" t="s">
        <v>434</v>
      </c>
      <c r="Q73" s="2" t="s">
        <v>424</v>
      </c>
      <c r="R73" s="2" t="s">
        <v>425</v>
      </c>
      <c r="S73" s="2" t="s">
        <v>435</v>
      </c>
    </row>
    <row r="74" spans="1:19" x14ac:dyDescent="0.25">
      <c r="A74" s="2">
        <v>73</v>
      </c>
      <c r="B74" s="2" t="s">
        <v>341</v>
      </c>
      <c r="C74" s="2" t="s">
        <v>416</v>
      </c>
      <c r="D74" s="2">
        <v>4</v>
      </c>
      <c r="E74" s="2" t="s">
        <v>417</v>
      </c>
      <c r="F74" s="2" t="s">
        <v>418</v>
      </c>
      <c r="G74" s="2" t="s">
        <v>419</v>
      </c>
      <c r="H74" s="2" t="s">
        <v>65</v>
      </c>
      <c r="I74" s="2" t="s">
        <v>436</v>
      </c>
      <c r="J74" s="2" t="s">
        <v>67</v>
      </c>
      <c r="K74" s="2" t="s">
        <v>437</v>
      </c>
      <c r="L74" s="2" t="s">
        <v>438</v>
      </c>
      <c r="M74" s="2">
        <v>4</v>
      </c>
      <c r="N74" s="2">
        <v>1</v>
      </c>
      <c r="O74" s="3" t="s">
        <v>29</v>
      </c>
      <c r="P74" s="2" t="s">
        <v>439</v>
      </c>
      <c r="Q74" s="2" t="s">
        <v>424</v>
      </c>
      <c r="R74" s="2" t="s">
        <v>425</v>
      </c>
      <c r="S74" s="2" t="s">
        <v>440</v>
      </c>
    </row>
    <row r="75" spans="1:19" x14ac:dyDescent="0.25">
      <c r="A75" s="2">
        <v>74</v>
      </c>
      <c r="B75" s="2" t="s">
        <v>341</v>
      </c>
      <c r="C75" s="2" t="s">
        <v>441</v>
      </c>
      <c r="D75" s="2">
        <v>5</v>
      </c>
      <c r="E75" s="2" t="s">
        <v>442</v>
      </c>
      <c r="F75" s="2" t="s">
        <v>443</v>
      </c>
      <c r="G75" s="2" t="s">
        <v>444</v>
      </c>
      <c r="H75" s="2" t="s">
        <v>24</v>
      </c>
      <c r="I75" s="2" t="s">
        <v>445</v>
      </c>
      <c r="J75" s="2" t="s">
        <v>104</v>
      </c>
      <c r="K75" s="2" t="s">
        <v>446</v>
      </c>
      <c r="L75" s="2" t="s">
        <v>447</v>
      </c>
      <c r="M75" s="2">
        <v>3</v>
      </c>
      <c r="N75" s="2">
        <v>1</v>
      </c>
      <c r="O75" s="3" t="s">
        <v>29</v>
      </c>
      <c r="P75" s="2" t="s">
        <v>448</v>
      </c>
      <c r="Q75" s="2" t="s">
        <v>449</v>
      </c>
      <c r="R75" s="2" t="s">
        <v>450</v>
      </c>
      <c r="S75" s="2" t="s">
        <v>451</v>
      </c>
    </row>
    <row r="76" spans="1:19" x14ac:dyDescent="0.25">
      <c r="A76" s="2">
        <v>75</v>
      </c>
      <c r="B76" s="2" t="s">
        <v>341</v>
      </c>
      <c r="C76" s="2" t="s">
        <v>441</v>
      </c>
      <c r="D76" s="2">
        <v>5</v>
      </c>
      <c r="E76" s="2" t="s">
        <v>442</v>
      </c>
      <c r="F76" s="2" t="s">
        <v>443</v>
      </c>
      <c r="G76" s="2" t="s">
        <v>444</v>
      </c>
      <c r="H76" s="2" t="s">
        <v>48</v>
      </c>
      <c r="I76" s="2" t="s">
        <v>452</v>
      </c>
      <c r="J76" s="2" t="s">
        <v>453</v>
      </c>
      <c r="K76" s="2" t="s">
        <v>454</v>
      </c>
      <c r="L76" s="2" t="s">
        <v>447</v>
      </c>
      <c r="M76" s="2">
        <v>4</v>
      </c>
      <c r="N76" s="2">
        <v>1</v>
      </c>
      <c r="O76" s="3" t="s">
        <v>29</v>
      </c>
      <c r="P76" s="2" t="s">
        <v>455</v>
      </c>
      <c r="Q76" s="2" t="s">
        <v>449</v>
      </c>
      <c r="R76" s="2" t="s">
        <v>450</v>
      </c>
      <c r="S76" s="2" t="s">
        <v>456</v>
      </c>
    </row>
    <row r="77" spans="1:19" x14ac:dyDescent="0.25">
      <c r="A77" s="2">
        <v>76</v>
      </c>
      <c r="B77" s="2" t="s">
        <v>341</v>
      </c>
      <c r="C77" s="2" t="s">
        <v>441</v>
      </c>
      <c r="D77" s="2">
        <v>5</v>
      </c>
      <c r="E77" s="2" t="s">
        <v>442</v>
      </c>
      <c r="F77" s="2" t="s">
        <v>443</v>
      </c>
      <c r="G77" s="2" t="s">
        <v>444</v>
      </c>
      <c r="H77" s="2" t="s">
        <v>48</v>
      </c>
      <c r="I77" s="2" t="s">
        <v>452</v>
      </c>
      <c r="J77" s="2" t="s">
        <v>111</v>
      </c>
      <c r="K77" s="2" t="s">
        <v>457</v>
      </c>
      <c r="L77" s="2" t="s">
        <v>447</v>
      </c>
      <c r="M77" s="2">
        <v>4</v>
      </c>
      <c r="N77" s="2">
        <v>1</v>
      </c>
      <c r="O77" s="3" t="s">
        <v>29</v>
      </c>
      <c r="P77" s="2" t="s">
        <v>458</v>
      </c>
      <c r="Q77" s="2" t="s">
        <v>449</v>
      </c>
      <c r="R77" s="2" t="s">
        <v>450</v>
      </c>
      <c r="S77" s="2" t="s">
        <v>459</v>
      </c>
    </row>
    <row r="78" spans="1:19" x14ac:dyDescent="0.25">
      <c r="A78" s="2">
        <v>77</v>
      </c>
      <c r="B78" s="2" t="s">
        <v>341</v>
      </c>
      <c r="C78" s="2" t="s">
        <v>441</v>
      </c>
      <c r="D78" s="2">
        <v>5</v>
      </c>
      <c r="E78" s="2" t="s">
        <v>442</v>
      </c>
      <c r="F78" s="2" t="s">
        <v>443</v>
      </c>
      <c r="G78" s="2" t="s">
        <v>444</v>
      </c>
      <c r="H78" s="2" t="s">
        <v>55</v>
      </c>
      <c r="I78" s="2" t="s">
        <v>460</v>
      </c>
      <c r="J78" s="2" t="s">
        <v>461</v>
      </c>
      <c r="K78" s="2" t="s">
        <v>462</v>
      </c>
      <c r="L78" s="2" t="s">
        <v>447</v>
      </c>
      <c r="M78" s="2">
        <v>4</v>
      </c>
      <c r="N78" s="2">
        <v>1</v>
      </c>
      <c r="O78" s="3" t="s">
        <v>29</v>
      </c>
      <c r="P78" s="2" t="s">
        <v>463</v>
      </c>
      <c r="Q78" s="2" t="s">
        <v>449</v>
      </c>
      <c r="R78" s="2" t="s">
        <v>450</v>
      </c>
      <c r="S78" s="2" t="s">
        <v>464</v>
      </c>
    </row>
    <row r="79" spans="1:19" x14ac:dyDescent="0.25">
      <c r="A79" s="2">
        <v>78</v>
      </c>
      <c r="B79" s="2" t="s">
        <v>341</v>
      </c>
      <c r="C79" s="2" t="s">
        <v>441</v>
      </c>
      <c r="D79" s="2">
        <v>5</v>
      </c>
      <c r="E79" s="2" t="s">
        <v>442</v>
      </c>
      <c r="F79" s="2" t="s">
        <v>443</v>
      </c>
      <c r="G79" s="2" t="s">
        <v>444</v>
      </c>
      <c r="H79" s="2" t="s">
        <v>55</v>
      </c>
      <c r="I79" s="2" t="s">
        <v>460</v>
      </c>
      <c r="J79" s="2" t="s">
        <v>465</v>
      </c>
      <c r="K79" s="2" t="s">
        <v>466</v>
      </c>
      <c r="L79" s="2" t="s">
        <v>447</v>
      </c>
      <c r="M79" s="2">
        <v>4</v>
      </c>
      <c r="N79" s="2">
        <v>1</v>
      </c>
      <c r="O79" s="3" t="s">
        <v>29</v>
      </c>
      <c r="P79" s="2" t="s">
        <v>467</v>
      </c>
      <c r="Q79" s="2" t="s">
        <v>449</v>
      </c>
      <c r="R79" s="2" t="s">
        <v>450</v>
      </c>
      <c r="S79" s="2" t="s">
        <v>468</v>
      </c>
    </row>
    <row r="80" spans="1:19" x14ac:dyDescent="0.25">
      <c r="A80" s="2">
        <v>79</v>
      </c>
      <c r="B80" s="2" t="s">
        <v>341</v>
      </c>
      <c r="C80" s="2" t="s">
        <v>441</v>
      </c>
      <c r="D80" s="2">
        <v>5</v>
      </c>
      <c r="E80" s="2" t="s">
        <v>442</v>
      </c>
      <c r="F80" s="2" t="s">
        <v>443</v>
      </c>
      <c r="G80" s="2" t="s">
        <v>444</v>
      </c>
      <c r="H80" s="2" t="s">
        <v>65</v>
      </c>
      <c r="I80" s="2" t="s">
        <v>469</v>
      </c>
      <c r="J80" s="2" t="s">
        <v>67</v>
      </c>
      <c r="K80" s="2" t="s">
        <v>470</v>
      </c>
      <c r="L80" s="2" t="s">
        <v>471</v>
      </c>
      <c r="M80" s="2">
        <v>5</v>
      </c>
      <c r="N80" s="2">
        <v>1</v>
      </c>
      <c r="O80" s="3" t="s">
        <v>29</v>
      </c>
      <c r="P80" s="2" t="s">
        <v>472</v>
      </c>
      <c r="Q80" s="2" t="s">
        <v>449</v>
      </c>
      <c r="R80" s="2" t="s">
        <v>450</v>
      </c>
      <c r="S80" s="2" t="s">
        <v>473</v>
      </c>
    </row>
    <row r="81" spans="1:19" x14ac:dyDescent="0.25">
      <c r="A81" s="2">
        <v>80</v>
      </c>
      <c r="B81" s="2" t="s">
        <v>341</v>
      </c>
      <c r="C81" s="2" t="s">
        <v>474</v>
      </c>
      <c r="D81" s="2">
        <v>7</v>
      </c>
      <c r="E81" s="2" t="s">
        <v>475</v>
      </c>
      <c r="F81" s="2" t="s">
        <v>476</v>
      </c>
      <c r="G81" s="2" t="s">
        <v>477</v>
      </c>
      <c r="H81" s="2" t="s">
        <v>24</v>
      </c>
      <c r="I81" s="2" t="s">
        <v>478</v>
      </c>
      <c r="J81" s="2" t="s">
        <v>104</v>
      </c>
      <c r="K81" s="2" t="s">
        <v>479</v>
      </c>
      <c r="L81" s="2" t="s">
        <v>480</v>
      </c>
      <c r="M81" s="2">
        <v>3</v>
      </c>
      <c r="N81" s="2">
        <v>1</v>
      </c>
      <c r="O81" s="3" t="s">
        <v>29</v>
      </c>
      <c r="P81" s="2" t="s">
        <v>481</v>
      </c>
      <c r="Q81" s="2" t="s">
        <v>482</v>
      </c>
      <c r="R81" s="2" t="s">
        <v>483</v>
      </c>
      <c r="S81" s="2" t="s">
        <v>484</v>
      </c>
    </row>
    <row r="82" spans="1:19" x14ac:dyDescent="0.25">
      <c r="A82" s="2">
        <v>81</v>
      </c>
      <c r="B82" s="2" t="s">
        <v>341</v>
      </c>
      <c r="C82" s="2" t="s">
        <v>474</v>
      </c>
      <c r="D82" s="2">
        <v>7</v>
      </c>
      <c r="E82" s="2" t="s">
        <v>475</v>
      </c>
      <c r="F82" s="2" t="s">
        <v>476</v>
      </c>
      <c r="G82" s="2" t="s">
        <v>477</v>
      </c>
      <c r="H82" s="2" t="s">
        <v>48</v>
      </c>
      <c r="I82" s="2" t="s">
        <v>485</v>
      </c>
      <c r="J82" s="2" t="s">
        <v>111</v>
      </c>
      <c r="K82" s="2" t="s">
        <v>486</v>
      </c>
      <c r="L82" s="2" t="s">
        <v>480</v>
      </c>
      <c r="M82" s="2">
        <v>4</v>
      </c>
      <c r="N82" s="2">
        <v>1</v>
      </c>
      <c r="O82" s="4" t="s">
        <v>52</v>
      </c>
      <c r="P82" s="2" t="s">
        <v>487</v>
      </c>
      <c r="Q82" s="2" t="s">
        <v>482</v>
      </c>
      <c r="R82" s="2" t="s">
        <v>483</v>
      </c>
      <c r="S82" s="2" t="s">
        <v>488</v>
      </c>
    </row>
    <row r="83" spans="1:19" x14ac:dyDescent="0.25">
      <c r="A83" s="2">
        <v>82</v>
      </c>
      <c r="B83" s="2" t="s">
        <v>341</v>
      </c>
      <c r="C83" s="2" t="s">
        <v>474</v>
      </c>
      <c r="D83" s="2">
        <v>7</v>
      </c>
      <c r="E83" s="2" t="s">
        <v>475</v>
      </c>
      <c r="F83" s="2" t="s">
        <v>476</v>
      </c>
      <c r="G83" s="2" t="s">
        <v>477</v>
      </c>
      <c r="H83" s="2" t="s">
        <v>55</v>
      </c>
      <c r="I83" s="2" t="s">
        <v>489</v>
      </c>
      <c r="J83" s="2" t="s">
        <v>432</v>
      </c>
      <c r="K83" s="2" t="s">
        <v>490</v>
      </c>
      <c r="L83" s="2" t="s">
        <v>480</v>
      </c>
      <c r="M83" s="2">
        <v>4</v>
      </c>
      <c r="N83" s="2">
        <v>1</v>
      </c>
      <c r="O83" s="4" t="s">
        <v>52</v>
      </c>
      <c r="P83" s="2" t="s">
        <v>491</v>
      </c>
      <c r="Q83" s="2" t="s">
        <v>482</v>
      </c>
      <c r="R83" s="2" t="s">
        <v>483</v>
      </c>
      <c r="S83" s="2" t="s">
        <v>492</v>
      </c>
    </row>
    <row r="84" spans="1:19" x14ac:dyDescent="0.25">
      <c r="A84" s="2">
        <v>83</v>
      </c>
      <c r="B84" s="2" t="s">
        <v>341</v>
      </c>
      <c r="C84" s="2" t="s">
        <v>474</v>
      </c>
      <c r="D84" s="2">
        <v>7</v>
      </c>
      <c r="E84" s="2" t="s">
        <v>475</v>
      </c>
      <c r="F84" s="2" t="s">
        <v>476</v>
      </c>
      <c r="G84" s="2" t="s">
        <v>477</v>
      </c>
      <c r="H84" s="2" t="s">
        <v>55</v>
      </c>
      <c r="I84" s="2" t="s">
        <v>489</v>
      </c>
      <c r="J84" s="2" t="s">
        <v>493</v>
      </c>
      <c r="K84" s="2" t="s">
        <v>494</v>
      </c>
      <c r="L84" s="2" t="s">
        <v>480</v>
      </c>
      <c r="M84" s="2">
        <v>4</v>
      </c>
      <c r="N84" s="2">
        <v>1</v>
      </c>
      <c r="O84" s="4" t="s">
        <v>52</v>
      </c>
      <c r="P84" s="2" t="s">
        <v>495</v>
      </c>
      <c r="Q84" s="2" t="s">
        <v>482</v>
      </c>
      <c r="R84" s="2" t="s">
        <v>483</v>
      </c>
      <c r="S84" s="2" t="s">
        <v>496</v>
      </c>
    </row>
    <row r="85" spans="1:19" x14ac:dyDescent="0.25">
      <c r="A85" s="2">
        <v>84</v>
      </c>
      <c r="B85" s="2" t="s">
        <v>341</v>
      </c>
      <c r="C85" s="2" t="s">
        <v>474</v>
      </c>
      <c r="D85" s="2">
        <v>7</v>
      </c>
      <c r="E85" s="2" t="s">
        <v>475</v>
      </c>
      <c r="F85" s="2" t="s">
        <v>476</v>
      </c>
      <c r="G85" s="2" t="s">
        <v>477</v>
      </c>
      <c r="H85" s="2" t="s">
        <v>65</v>
      </c>
      <c r="I85" s="2" t="s">
        <v>497</v>
      </c>
      <c r="J85" s="2" t="s">
        <v>67</v>
      </c>
      <c r="K85" s="2" t="s">
        <v>498</v>
      </c>
      <c r="L85" s="2" t="s">
        <v>499</v>
      </c>
      <c r="M85" s="2">
        <v>5</v>
      </c>
      <c r="N85" s="2">
        <v>1</v>
      </c>
      <c r="O85" s="4" t="s">
        <v>52</v>
      </c>
      <c r="P85" s="2" t="s">
        <v>500</v>
      </c>
      <c r="Q85" s="2" t="s">
        <v>482</v>
      </c>
      <c r="R85" s="2" t="s">
        <v>483</v>
      </c>
      <c r="S85" s="2" t="s">
        <v>501</v>
      </c>
    </row>
    <row r="86" spans="1:19" x14ac:dyDescent="0.25">
      <c r="A86" s="2">
        <v>85</v>
      </c>
      <c r="B86" s="2" t="s">
        <v>502</v>
      </c>
      <c r="C86" s="2" t="s">
        <v>503</v>
      </c>
      <c r="D86" s="2">
        <v>6</v>
      </c>
      <c r="E86" s="2" t="s">
        <v>504</v>
      </c>
      <c r="F86" s="2" t="s">
        <v>505</v>
      </c>
      <c r="G86" s="2" t="s">
        <v>506</v>
      </c>
      <c r="H86" s="2" t="s">
        <v>24</v>
      </c>
      <c r="I86" s="2" t="s">
        <v>507</v>
      </c>
      <c r="J86" s="2" t="s">
        <v>508</v>
      </c>
      <c r="K86" s="2" t="s">
        <v>509</v>
      </c>
      <c r="L86" s="2" t="s">
        <v>510</v>
      </c>
      <c r="M86" s="2">
        <v>4</v>
      </c>
      <c r="N86" s="2">
        <v>1</v>
      </c>
      <c r="O86" s="3" t="s">
        <v>29</v>
      </c>
      <c r="P86" s="2" t="s">
        <v>511</v>
      </c>
      <c r="Q86" s="2" t="s">
        <v>512</v>
      </c>
      <c r="R86" s="2" t="s">
        <v>513</v>
      </c>
      <c r="S86" s="2" t="s">
        <v>514</v>
      </c>
    </row>
    <row r="87" spans="1:19" x14ac:dyDescent="0.25">
      <c r="A87" s="2">
        <v>86</v>
      </c>
      <c r="B87" s="2" t="s">
        <v>502</v>
      </c>
      <c r="C87" s="2" t="s">
        <v>503</v>
      </c>
      <c r="D87" s="2">
        <v>6</v>
      </c>
      <c r="E87" s="2" t="s">
        <v>504</v>
      </c>
      <c r="F87" s="2" t="s">
        <v>505</v>
      </c>
      <c r="G87" s="2" t="s">
        <v>506</v>
      </c>
      <c r="H87" s="2" t="s">
        <v>48</v>
      </c>
      <c r="I87" s="2" t="s">
        <v>515</v>
      </c>
      <c r="J87" s="2" t="s">
        <v>111</v>
      </c>
      <c r="K87" s="2" t="s">
        <v>516</v>
      </c>
      <c r="L87" s="2" t="s">
        <v>510</v>
      </c>
      <c r="M87" s="2">
        <v>4</v>
      </c>
      <c r="N87" s="2">
        <v>1</v>
      </c>
      <c r="O87" s="3" t="s">
        <v>29</v>
      </c>
      <c r="P87" s="2" t="s">
        <v>517</v>
      </c>
      <c r="Q87" s="2" t="s">
        <v>512</v>
      </c>
      <c r="R87" s="2" t="s">
        <v>513</v>
      </c>
      <c r="S87" s="2" t="s">
        <v>518</v>
      </c>
    </row>
    <row r="88" spans="1:19" x14ac:dyDescent="0.25">
      <c r="A88" s="2">
        <v>87</v>
      </c>
      <c r="B88" s="2" t="s">
        <v>502</v>
      </c>
      <c r="C88" s="2" t="s">
        <v>503</v>
      </c>
      <c r="D88" s="2">
        <v>6</v>
      </c>
      <c r="E88" s="2" t="s">
        <v>504</v>
      </c>
      <c r="F88" s="2" t="s">
        <v>505</v>
      </c>
      <c r="G88" s="2" t="s">
        <v>506</v>
      </c>
      <c r="H88" s="2" t="s">
        <v>55</v>
      </c>
      <c r="I88" s="2" t="s">
        <v>519</v>
      </c>
      <c r="J88" s="2" t="s">
        <v>520</v>
      </c>
      <c r="K88" s="2" t="s">
        <v>521</v>
      </c>
      <c r="L88" s="2" t="s">
        <v>510</v>
      </c>
      <c r="M88" s="2">
        <v>4</v>
      </c>
      <c r="N88" s="2">
        <v>1</v>
      </c>
      <c r="O88" s="3" t="s">
        <v>29</v>
      </c>
      <c r="P88" s="2" t="s">
        <v>522</v>
      </c>
      <c r="Q88" s="2" t="s">
        <v>512</v>
      </c>
      <c r="R88" s="2" t="s">
        <v>513</v>
      </c>
      <c r="S88" s="2" t="s">
        <v>523</v>
      </c>
    </row>
    <row r="89" spans="1:19" x14ac:dyDescent="0.25">
      <c r="A89" s="2">
        <v>88</v>
      </c>
      <c r="B89" s="2" t="s">
        <v>502</v>
      </c>
      <c r="C89" s="2" t="s">
        <v>503</v>
      </c>
      <c r="D89" s="2">
        <v>6</v>
      </c>
      <c r="E89" s="2" t="s">
        <v>504</v>
      </c>
      <c r="F89" s="2" t="s">
        <v>505</v>
      </c>
      <c r="G89" s="2" t="s">
        <v>506</v>
      </c>
      <c r="H89" s="2" t="s">
        <v>55</v>
      </c>
      <c r="I89" s="2" t="s">
        <v>519</v>
      </c>
      <c r="J89" s="2" t="s">
        <v>524</v>
      </c>
      <c r="K89" s="2" t="s">
        <v>525</v>
      </c>
      <c r="L89" s="2" t="s">
        <v>526</v>
      </c>
      <c r="M89" s="2">
        <v>4</v>
      </c>
      <c r="N89" s="2">
        <v>1</v>
      </c>
      <c r="O89" s="3" t="s">
        <v>29</v>
      </c>
      <c r="P89" s="2" t="s">
        <v>527</v>
      </c>
      <c r="Q89" s="2" t="s">
        <v>512</v>
      </c>
      <c r="R89" s="2" t="s">
        <v>513</v>
      </c>
      <c r="S89" s="2" t="s">
        <v>528</v>
      </c>
    </row>
    <row r="90" spans="1:19" x14ac:dyDescent="0.25">
      <c r="A90" s="2">
        <v>89</v>
      </c>
      <c r="B90" s="2" t="s">
        <v>502</v>
      </c>
      <c r="C90" s="2" t="s">
        <v>503</v>
      </c>
      <c r="D90" s="2">
        <v>6</v>
      </c>
      <c r="E90" s="2" t="s">
        <v>504</v>
      </c>
      <c r="F90" s="2" t="s">
        <v>505</v>
      </c>
      <c r="G90" s="2" t="s">
        <v>506</v>
      </c>
      <c r="H90" s="2" t="s">
        <v>65</v>
      </c>
      <c r="I90" s="2" t="s">
        <v>529</v>
      </c>
      <c r="J90" s="2" t="s">
        <v>67</v>
      </c>
      <c r="K90" s="2" t="s">
        <v>530</v>
      </c>
      <c r="L90" s="2" t="s">
        <v>510</v>
      </c>
      <c r="M90" s="2">
        <v>4</v>
      </c>
      <c r="N90" s="2">
        <v>1</v>
      </c>
      <c r="O90" s="3" t="s">
        <v>29</v>
      </c>
      <c r="P90" s="2" t="s">
        <v>531</v>
      </c>
      <c r="Q90" s="2" t="s">
        <v>512</v>
      </c>
      <c r="R90" s="2" t="s">
        <v>513</v>
      </c>
      <c r="S90" s="2" t="s">
        <v>532</v>
      </c>
    </row>
    <row r="91" spans="1:19" x14ac:dyDescent="0.25">
      <c r="A91" s="2">
        <v>90</v>
      </c>
      <c r="B91" s="2" t="s">
        <v>502</v>
      </c>
      <c r="C91" s="2" t="s">
        <v>533</v>
      </c>
      <c r="D91" s="2">
        <v>9</v>
      </c>
      <c r="E91" s="2" t="s">
        <v>534</v>
      </c>
      <c r="F91" s="2" t="s">
        <v>535</v>
      </c>
      <c r="G91" s="2" t="s">
        <v>536</v>
      </c>
      <c r="H91" s="2" t="s">
        <v>24</v>
      </c>
      <c r="I91" s="2" t="s">
        <v>103</v>
      </c>
      <c r="J91" s="2" t="s">
        <v>104</v>
      </c>
      <c r="K91" s="2" t="s">
        <v>537</v>
      </c>
      <c r="L91" s="2" t="s">
        <v>538</v>
      </c>
      <c r="M91" s="2">
        <v>4</v>
      </c>
      <c r="N91" s="2">
        <v>7</v>
      </c>
      <c r="O91" s="5" t="s">
        <v>142</v>
      </c>
      <c r="P91" s="2" t="s">
        <v>539</v>
      </c>
      <c r="Q91" s="2" t="s">
        <v>540</v>
      </c>
      <c r="R91" s="2" t="s">
        <v>541</v>
      </c>
      <c r="S91" s="2" t="s">
        <v>542</v>
      </c>
    </row>
    <row r="92" spans="1:19" x14ac:dyDescent="0.25">
      <c r="A92" s="2">
        <v>91</v>
      </c>
      <c r="B92" s="2" t="s">
        <v>502</v>
      </c>
      <c r="C92" s="2" t="s">
        <v>533</v>
      </c>
      <c r="D92" s="2">
        <v>9</v>
      </c>
      <c r="E92" s="2" t="s">
        <v>534</v>
      </c>
      <c r="F92" s="2" t="s">
        <v>535</v>
      </c>
      <c r="G92" s="2" t="s">
        <v>536</v>
      </c>
      <c r="H92" s="2" t="s">
        <v>48</v>
      </c>
      <c r="I92" s="2" t="s">
        <v>543</v>
      </c>
      <c r="J92" s="2" t="s">
        <v>111</v>
      </c>
      <c r="K92" s="2" t="s">
        <v>544</v>
      </c>
      <c r="L92" s="2" t="s">
        <v>538</v>
      </c>
      <c r="M92" s="2">
        <v>4</v>
      </c>
      <c r="N92" s="2">
        <v>7</v>
      </c>
      <c r="O92" s="5" t="s">
        <v>142</v>
      </c>
      <c r="P92" s="2" t="s">
        <v>545</v>
      </c>
      <c r="Q92" s="2" t="s">
        <v>540</v>
      </c>
      <c r="R92" s="2" t="s">
        <v>541</v>
      </c>
      <c r="S92" s="2" t="s">
        <v>546</v>
      </c>
    </row>
    <row r="93" spans="1:19" x14ac:dyDescent="0.25">
      <c r="A93" s="2">
        <v>92</v>
      </c>
      <c r="B93" s="2" t="s">
        <v>502</v>
      </c>
      <c r="C93" s="2" t="s">
        <v>533</v>
      </c>
      <c r="D93" s="2">
        <v>9</v>
      </c>
      <c r="E93" s="2" t="s">
        <v>534</v>
      </c>
      <c r="F93" s="2" t="s">
        <v>535</v>
      </c>
      <c r="G93" s="2" t="s">
        <v>536</v>
      </c>
      <c r="H93" s="2" t="s">
        <v>55</v>
      </c>
      <c r="I93" s="2" t="s">
        <v>547</v>
      </c>
      <c r="J93" s="2" t="s">
        <v>548</v>
      </c>
      <c r="K93" s="2" t="s">
        <v>549</v>
      </c>
      <c r="L93" s="2" t="s">
        <v>538</v>
      </c>
      <c r="M93" s="2">
        <v>3</v>
      </c>
      <c r="N93" s="2">
        <v>7</v>
      </c>
      <c r="O93" s="5" t="s">
        <v>142</v>
      </c>
      <c r="P93" s="2" t="s">
        <v>550</v>
      </c>
      <c r="Q93" s="2" t="s">
        <v>540</v>
      </c>
      <c r="R93" s="2" t="s">
        <v>541</v>
      </c>
      <c r="S93" s="2" t="s">
        <v>551</v>
      </c>
    </row>
    <row r="94" spans="1:19" x14ac:dyDescent="0.25">
      <c r="A94" s="2">
        <v>93</v>
      </c>
      <c r="B94" s="2" t="s">
        <v>502</v>
      </c>
      <c r="C94" s="2" t="s">
        <v>552</v>
      </c>
      <c r="D94" s="2">
        <v>7</v>
      </c>
      <c r="E94" s="2" t="s">
        <v>534</v>
      </c>
      <c r="F94" s="2" t="s">
        <v>535</v>
      </c>
      <c r="G94" s="2" t="s">
        <v>553</v>
      </c>
      <c r="H94" s="2" t="s">
        <v>55</v>
      </c>
      <c r="I94" s="2" t="s">
        <v>547</v>
      </c>
      <c r="J94" s="2" t="s">
        <v>91</v>
      </c>
      <c r="K94" s="2" t="s">
        <v>554</v>
      </c>
      <c r="L94" s="2" t="s">
        <v>538</v>
      </c>
      <c r="M94" s="2">
        <v>3</v>
      </c>
      <c r="N94" s="2">
        <v>7</v>
      </c>
      <c r="O94" s="4" t="s">
        <v>52</v>
      </c>
      <c r="P94" s="2" t="s">
        <v>555</v>
      </c>
      <c r="Q94" s="2" t="s">
        <v>556</v>
      </c>
      <c r="R94" s="2" t="s">
        <v>557</v>
      </c>
      <c r="S94" s="2" t="s">
        <v>558</v>
      </c>
    </row>
    <row r="95" spans="1:19" x14ac:dyDescent="0.25">
      <c r="A95" s="2">
        <v>94</v>
      </c>
      <c r="B95" s="2" t="s">
        <v>502</v>
      </c>
      <c r="C95" s="2" t="s">
        <v>552</v>
      </c>
      <c r="D95" s="2">
        <v>7</v>
      </c>
      <c r="E95" s="2" t="s">
        <v>534</v>
      </c>
      <c r="F95" s="2" t="s">
        <v>535</v>
      </c>
      <c r="G95" s="2" t="s">
        <v>553</v>
      </c>
      <c r="H95" s="2" t="s">
        <v>55</v>
      </c>
      <c r="I95" s="2" t="s">
        <v>559</v>
      </c>
      <c r="J95" s="2" t="s">
        <v>560</v>
      </c>
      <c r="K95" s="2" t="s">
        <v>97</v>
      </c>
      <c r="L95" s="2" t="s">
        <v>538</v>
      </c>
      <c r="M95" s="2">
        <v>4</v>
      </c>
      <c r="N95" s="2">
        <v>7</v>
      </c>
      <c r="O95" s="5" t="s">
        <v>142</v>
      </c>
      <c r="P95" s="2" t="s">
        <v>561</v>
      </c>
      <c r="Q95" s="2" t="s">
        <v>556</v>
      </c>
      <c r="R95" s="2" t="s">
        <v>557</v>
      </c>
      <c r="S95" s="2" t="s">
        <v>562</v>
      </c>
    </row>
    <row r="96" spans="1:19" x14ac:dyDescent="0.25">
      <c r="A96" s="2">
        <v>95</v>
      </c>
      <c r="B96" s="2" t="s">
        <v>502</v>
      </c>
      <c r="C96" s="2" t="s">
        <v>552</v>
      </c>
      <c r="D96" s="2">
        <v>7</v>
      </c>
      <c r="E96" s="2" t="s">
        <v>534</v>
      </c>
      <c r="F96" s="2" t="s">
        <v>535</v>
      </c>
      <c r="G96" s="2" t="s">
        <v>553</v>
      </c>
      <c r="H96" s="2" t="s">
        <v>55</v>
      </c>
      <c r="I96" s="2" t="s">
        <v>559</v>
      </c>
      <c r="J96" s="2" t="s">
        <v>563</v>
      </c>
      <c r="K96" s="2" t="s">
        <v>97</v>
      </c>
      <c r="L96" s="2" t="s">
        <v>538</v>
      </c>
      <c r="M96" s="2">
        <v>4</v>
      </c>
      <c r="N96" s="2">
        <v>7</v>
      </c>
      <c r="O96" s="5" t="s">
        <v>142</v>
      </c>
      <c r="P96" s="2" t="s">
        <v>564</v>
      </c>
      <c r="Q96" s="2" t="s">
        <v>556</v>
      </c>
      <c r="R96" s="2" t="s">
        <v>557</v>
      </c>
      <c r="S96" s="2" t="s">
        <v>565</v>
      </c>
    </row>
    <row r="97" spans="1:19" x14ac:dyDescent="0.25">
      <c r="A97" s="2">
        <v>96</v>
      </c>
      <c r="B97" s="2" t="s">
        <v>502</v>
      </c>
      <c r="C97" s="2" t="s">
        <v>552</v>
      </c>
      <c r="D97" s="2">
        <v>7</v>
      </c>
      <c r="E97" s="2" t="s">
        <v>534</v>
      </c>
      <c r="F97" s="2" t="s">
        <v>535</v>
      </c>
      <c r="G97" s="2" t="s">
        <v>553</v>
      </c>
      <c r="H97" s="2" t="s">
        <v>55</v>
      </c>
      <c r="I97" s="2" t="s">
        <v>559</v>
      </c>
      <c r="J97" s="2" t="s">
        <v>566</v>
      </c>
      <c r="K97" s="2" t="s">
        <v>567</v>
      </c>
      <c r="L97" s="2" t="s">
        <v>538</v>
      </c>
      <c r="M97" s="2">
        <v>3</v>
      </c>
      <c r="N97" s="2">
        <v>7</v>
      </c>
      <c r="O97" s="4" t="s">
        <v>52</v>
      </c>
      <c r="P97" s="2" t="s">
        <v>568</v>
      </c>
      <c r="Q97" s="2" t="s">
        <v>556</v>
      </c>
      <c r="R97" s="2" t="s">
        <v>557</v>
      </c>
      <c r="S97" s="2" t="s">
        <v>569</v>
      </c>
    </row>
    <row r="98" spans="1:19" x14ac:dyDescent="0.25">
      <c r="A98" s="2">
        <v>97</v>
      </c>
      <c r="B98" s="2" t="s">
        <v>502</v>
      </c>
      <c r="C98" s="2" t="s">
        <v>552</v>
      </c>
      <c r="D98" s="2">
        <v>7</v>
      </c>
      <c r="E98" s="2" t="s">
        <v>534</v>
      </c>
      <c r="F98" s="2" t="s">
        <v>535</v>
      </c>
      <c r="G98" s="2" t="s">
        <v>553</v>
      </c>
      <c r="H98" s="2" t="s">
        <v>55</v>
      </c>
      <c r="I98" s="2" t="s">
        <v>559</v>
      </c>
      <c r="J98" s="2" t="s">
        <v>570</v>
      </c>
      <c r="K98" s="2" t="s">
        <v>87</v>
      </c>
      <c r="L98" s="2" t="s">
        <v>571</v>
      </c>
      <c r="M98" s="2">
        <v>4</v>
      </c>
      <c r="N98" s="2">
        <v>7</v>
      </c>
      <c r="O98" s="5" t="s">
        <v>142</v>
      </c>
      <c r="P98" s="2" t="s">
        <v>572</v>
      </c>
      <c r="Q98" s="2" t="s">
        <v>556</v>
      </c>
      <c r="R98" s="2" t="s">
        <v>557</v>
      </c>
      <c r="S98" s="2" t="s">
        <v>573</v>
      </c>
    </row>
    <row r="99" spans="1:19" x14ac:dyDescent="0.25">
      <c r="A99" s="2">
        <v>98</v>
      </c>
      <c r="B99" s="2" t="s">
        <v>502</v>
      </c>
      <c r="C99" s="2" t="s">
        <v>552</v>
      </c>
      <c r="D99" s="2">
        <v>7</v>
      </c>
      <c r="E99" s="2" t="s">
        <v>534</v>
      </c>
      <c r="F99" s="2" t="s">
        <v>535</v>
      </c>
      <c r="G99" s="2" t="s">
        <v>553</v>
      </c>
      <c r="H99" s="2" t="s">
        <v>65</v>
      </c>
      <c r="I99" s="2" t="s">
        <v>574</v>
      </c>
      <c r="J99" s="2" t="s">
        <v>96</v>
      </c>
      <c r="K99" s="2" t="s">
        <v>97</v>
      </c>
      <c r="L99" s="2" t="s">
        <v>575</v>
      </c>
      <c r="M99" s="2">
        <v>5</v>
      </c>
      <c r="N99" s="2">
        <v>7</v>
      </c>
      <c r="O99" s="5" t="s">
        <v>142</v>
      </c>
      <c r="P99" s="2" t="s">
        <v>576</v>
      </c>
      <c r="Q99" s="2" t="s">
        <v>556</v>
      </c>
      <c r="R99" s="2" t="s">
        <v>557</v>
      </c>
      <c r="S99" s="2" t="s">
        <v>577</v>
      </c>
    </row>
    <row r="100" spans="1:19" x14ac:dyDescent="0.25">
      <c r="A100" s="2">
        <v>99</v>
      </c>
      <c r="B100" s="2" t="s">
        <v>19</v>
      </c>
      <c r="C100" s="2" t="s">
        <v>71</v>
      </c>
      <c r="D100" s="2">
        <v>5</v>
      </c>
      <c r="E100" s="2" t="s">
        <v>578</v>
      </c>
      <c r="F100" s="2" t="s">
        <v>579</v>
      </c>
      <c r="G100" s="2" t="s">
        <v>160</v>
      </c>
      <c r="H100" s="2" t="s">
        <v>24</v>
      </c>
      <c r="I100" s="2" t="s">
        <v>580</v>
      </c>
      <c r="J100" s="2" t="s">
        <v>104</v>
      </c>
      <c r="K100" s="2" t="s">
        <v>581</v>
      </c>
      <c r="L100" s="2" t="s">
        <v>163</v>
      </c>
      <c r="M100" s="2">
        <v>4</v>
      </c>
      <c r="N100" s="2">
        <v>1</v>
      </c>
      <c r="O100" s="3" t="s">
        <v>29</v>
      </c>
      <c r="P100" s="2" t="s">
        <v>582</v>
      </c>
      <c r="Q100" s="2" t="s">
        <v>583</v>
      </c>
      <c r="R100" s="2" t="s">
        <v>81</v>
      </c>
      <c r="S100" s="2" t="s">
        <v>584</v>
      </c>
    </row>
    <row r="101" spans="1:19" x14ac:dyDescent="0.25">
      <c r="A101" s="2">
        <v>100</v>
      </c>
      <c r="B101" s="2" t="s">
        <v>19</v>
      </c>
      <c r="C101" s="2" t="s">
        <v>71</v>
      </c>
      <c r="D101" s="2">
        <v>5</v>
      </c>
      <c r="E101" s="2" t="s">
        <v>578</v>
      </c>
      <c r="F101" s="2" t="s">
        <v>579</v>
      </c>
      <c r="G101" s="2" t="s">
        <v>160</v>
      </c>
      <c r="H101" s="2" t="s">
        <v>48</v>
      </c>
      <c r="I101" s="2" t="s">
        <v>168</v>
      </c>
      <c r="J101" s="2" t="s">
        <v>111</v>
      </c>
      <c r="K101" s="2" t="s">
        <v>170</v>
      </c>
      <c r="L101" s="2" t="s">
        <v>163</v>
      </c>
      <c r="M101" s="2">
        <v>4</v>
      </c>
      <c r="N101" s="2">
        <v>1</v>
      </c>
      <c r="O101" s="3" t="s">
        <v>29</v>
      </c>
      <c r="P101" s="2" t="s">
        <v>585</v>
      </c>
      <c r="Q101" s="2" t="s">
        <v>583</v>
      </c>
      <c r="R101" s="2" t="s">
        <v>81</v>
      </c>
      <c r="S101" s="2" t="s">
        <v>586</v>
      </c>
    </row>
    <row r="102" spans="1:19" x14ac:dyDescent="0.25">
      <c r="A102" s="2">
        <v>101</v>
      </c>
      <c r="B102" s="2" t="s">
        <v>19</v>
      </c>
      <c r="C102" s="2" t="s">
        <v>71</v>
      </c>
      <c r="D102" s="2">
        <v>5</v>
      </c>
      <c r="E102" s="2" t="s">
        <v>578</v>
      </c>
      <c r="F102" s="2" t="s">
        <v>579</v>
      </c>
      <c r="G102" s="2" t="s">
        <v>160</v>
      </c>
      <c r="H102" s="2" t="s">
        <v>55</v>
      </c>
      <c r="I102" s="2" t="s">
        <v>587</v>
      </c>
      <c r="J102" s="2" t="s">
        <v>174</v>
      </c>
      <c r="K102" s="2" t="s">
        <v>588</v>
      </c>
      <c r="L102" s="2" t="s">
        <v>163</v>
      </c>
      <c r="M102" s="2">
        <v>4</v>
      </c>
      <c r="N102" s="2">
        <v>1</v>
      </c>
      <c r="O102" s="3" t="s">
        <v>29</v>
      </c>
      <c r="P102" s="2" t="s">
        <v>589</v>
      </c>
      <c r="Q102" s="2" t="s">
        <v>583</v>
      </c>
      <c r="R102" s="2" t="s">
        <v>81</v>
      </c>
      <c r="S102" s="2" t="s">
        <v>590</v>
      </c>
    </row>
    <row r="103" spans="1:19" x14ac:dyDescent="0.25">
      <c r="A103" s="2">
        <v>102</v>
      </c>
      <c r="B103" s="2" t="s">
        <v>19</v>
      </c>
      <c r="C103" s="2" t="s">
        <v>71</v>
      </c>
      <c r="D103" s="2">
        <v>5</v>
      </c>
      <c r="E103" s="2" t="s">
        <v>578</v>
      </c>
      <c r="F103" s="2" t="s">
        <v>579</v>
      </c>
      <c r="G103" s="2" t="s">
        <v>160</v>
      </c>
      <c r="H103" s="2" t="s">
        <v>65</v>
      </c>
      <c r="I103" s="2" t="s">
        <v>591</v>
      </c>
      <c r="J103" s="2" t="s">
        <v>67</v>
      </c>
      <c r="K103" s="2" t="s">
        <v>592</v>
      </c>
      <c r="L103" s="2" t="s">
        <v>180</v>
      </c>
      <c r="M103" s="2">
        <v>5</v>
      </c>
      <c r="N103" s="2">
        <v>1</v>
      </c>
      <c r="O103" s="3" t="s">
        <v>29</v>
      </c>
      <c r="P103" s="2" t="s">
        <v>593</v>
      </c>
      <c r="Q103" s="2" t="s">
        <v>583</v>
      </c>
      <c r="R103" s="2" t="s">
        <v>81</v>
      </c>
      <c r="S103" s="2" t="s">
        <v>594</v>
      </c>
    </row>
    <row r="104" spans="1:19" x14ac:dyDescent="0.25">
      <c r="A104" s="2">
        <v>103</v>
      </c>
      <c r="B104" s="2" t="s">
        <v>19</v>
      </c>
      <c r="C104" s="2" t="s">
        <v>101</v>
      </c>
      <c r="D104" s="2">
        <v>5</v>
      </c>
      <c r="E104" s="2" t="s">
        <v>595</v>
      </c>
      <c r="F104" s="2" t="s">
        <v>596</v>
      </c>
      <c r="G104" s="2" t="s">
        <v>160</v>
      </c>
      <c r="H104" s="2" t="s">
        <v>24</v>
      </c>
      <c r="I104" s="2" t="s">
        <v>597</v>
      </c>
      <c r="J104" s="2" t="s">
        <v>104</v>
      </c>
      <c r="K104" s="2" t="s">
        <v>598</v>
      </c>
      <c r="L104" s="2" t="s">
        <v>599</v>
      </c>
      <c r="M104" s="2">
        <v>4</v>
      </c>
      <c r="N104" s="2">
        <v>1</v>
      </c>
      <c r="O104" s="3" t="s">
        <v>29</v>
      </c>
      <c r="P104" s="2" t="s">
        <v>600</v>
      </c>
      <c r="Q104" s="2" t="s">
        <v>601</v>
      </c>
      <c r="R104" s="2" t="s">
        <v>108</v>
      </c>
      <c r="S104" s="2" t="s">
        <v>602</v>
      </c>
    </row>
    <row r="105" spans="1:19" x14ac:dyDescent="0.25">
      <c r="A105" s="2">
        <v>104</v>
      </c>
      <c r="B105" s="2" t="s">
        <v>19</v>
      </c>
      <c r="C105" s="2" t="s">
        <v>101</v>
      </c>
      <c r="D105" s="2">
        <v>5</v>
      </c>
      <c r="E105" s="2" t="s">
        <v>595</v>
      </c>
      <c r="F105" s="2" t="s">
        <v>596</v>
      </c>
      <c r="G105" s="2" t="s">
        <v>160</v>
      </c>
      <c r="H105" s="2" t="s">
        <v>48</v>
      </c>
      <c r="I105" s="2" t="s">
        <v>168</v>
      </c>
      <c r="J105" s="2" t="s">
        <v>111</v>
      </c>
      <c r="K105" s="2" t="s">
        <v>170</v>
      </c>
      <c r="L105" s="2" t="s">
        <v>599</v>
      </c>
      <c r="M105" s="2">
        <v>4</v>
      </c>
      <c r="N105" s="2">
        <v>1</v>
      </c>
      <c r="O105" s="3" t="s">
        <v>29</v>
      </c>
      <c r="P105" s="2" t="s">
        <v>603</v>
      </c>
      <c r="Q105" s="2" t="s">
        <v>601</v>
      </c>
      <c r="R105" s="2" t="s">
        <v>108</v>
      </c>
      <c r="S105" s="2" t="s">
        <v>604</v>
      </c>
    </row>
    <row r="106" spans="1:19" x14ac:dyDescent="0.25">
      <c r="A106" s="2">
        <v>105</v>
      </c>
      <c r="B106" s="2" t="s">
        <v>19</v>
      </c>
      <c r="C106" s="2" t="s">
        <v>101</v>
      </c>
      <c r="D106" s="2">
        <v>5</v>
      </c>
      <c r="E106" s="2" t="s">
        <v>595</v>
      </c>
      <c r="F106" s="2" t="s">
        <v>596</v>
      </c>
      <c r="G106" s="2" t="s">
        <v>160</v>
      </c>
      <c r="H106" s="2" t="s">
        <v>55</v>
      </c>
      <c r="I106" s="2" t="s">
        <v>173</v>
      </c>
      <c r="J106" s="2" t="s">
        <v>174</v>
      </c>
      <c r="K106" s="2" t="s">
        <v>175</v>
      </c>
      <c r="L106" s="2" t="s">
        <v>599</v>
      </c>
      <c r="M106" s="2">
        <v>4</v>
      </c>
      <c r="N106" s="2">
        <v>1</v>
      </c>
      <c r="O106" s="3" t="s">
        <v>29</v>
      </c>
      <c r="P106" s="2" t="s">
        <v>605</v>
      </c>
      <c r="Q106" s="2" t="s">
        <v>601</v>
      </c>
      <c r="R106" s="2" t="s">
        <v>108</v>
      </c>
      <c r="S106" s="2" t="s">
        <v>606</v>
      </c>
    </row>
    <row r="107" spans="1:19" x14ac:dyDescent="0.25">
      <c r="A107" s="2">
        <v>106</v>
      </c>
      <c r="B107" s="2" t="s">
        <v>19</v>
      </c>
      <c r="C107" s="2" t="s">
        <v>101</v>
      </c>
      <c r="D107" s="2">
        <v>5</v>
      </c>
      <c r="E107" s="2" t="s">
        <v>595</v>
      </c>
      <c r="F107" s="2" t="s">
        <v>596</v>
      </c>
      <c r="G107" s="2" t="s">
        <v>160</v>
      </c>
      <c r="H107" s="2" t="s">
        <v>65</v>
      </c>
      <c r="I107" s="2" t="s">
        <v>607</v>
      </c>
      <c r="J107" s="2" t="s">
        <v>67</v>
      </c>
      <c r="K107" s="2" t="s">
        <v>608</v>
      </c>
      <c r="L107" s="2" t="s">
        <v>609</v>
      </c>
      <c r="M107" s="2">
        <v>5</v>
      </c>
      <c r="N107" s="2">
        <v>1</v>
      </c>
      <c r="O107" s="3" t="s">
        <v>29</v>
      </c>
      <c r="P107" s="2" t="s">
        <v>610</v>
      </c>
      <c r="Q107" s="2" t="s">
        <v>601</v>
      </c>
      <c r="R107" s="2" t="s">
        <v>108</v>
      </c>
      <c r="S107" s="2" t="s">
        <v>611</v>
      </c>
    </row>
    <row r="108" spans="1:19" x14ac:dyDescent="0.25">
      <c r="A108" s="2">
        <v>107</v>
      </c>
      <c r="B108" s="2" t="s">
        <v>19</v>
      </c>
      <c r="C108" s="2" t="s">
        <v>115</v>
      </c>
      <c r="D108" s="2">
        <v>7</v>
      </c>
      <c r="E108" s="2" t="s">
        <v>612</v>
      </c>
      <c r="F108" s="2" t="s">
        <v>613</v>
      </c>
      <c r="G108" s="2" t="s">
        <v>146</v>
      </c>
      <c r="H108" s="2" t="s">
        <v>24</v>
      </c>
      <c r="I108" s="2" t="s">
        <v>614</v>
      </c>
      <c r="J108" s="2" t="s">
        <v>104</v>
      </c>
      <c r="K108" s="2" t="s">
        <v>615</v>
      </c>
      <c r="L108" s="2" t="s">
        <v>616</v>
      </c>
      <c r="M108" s="2">
        <v>4</v>
      </c>
      <c r="N108" s="2">
        <v>1</v>
      </c>
      <c r="O108" s="4" t="s">
        <v>52</v>
      </c>
      <c r="P108" s="2" t="s">
        <v>617</v>
      </c>
      <c r="Q108" s="2" t="s">
        <v>618</v>
      </c>
      <c r="R108" s="2" t="s">
        <v>125</v>
      </c>
      <c r="S108" s="2" t="s">
        <v>619</v>
      </c>
    </row>
    <row r="109" spans="1:19" x14ac:dyDescent="0.25">
      <c r="A109" s="2">
        <v>108</v>
      </c>
      <c r="B109" s="2" t="s">
        <v>19</v>
      </c>
      <c r="C109" s="2" t="s">
        <v>115</v>
      </c>
      <c r="D109" s="2">
        <v>7</v>
      </c>
      <c r="E109" s="2" t="s">
        <v>612</v>
      </c>
      <c r="F109" s="2" t="s">
        <v>613</v>
      </c>
      <c r="G109" s="2" t="s">
        <v>146</v>
      </c>
      <c r="H109" s="2" t="s">
        <v>48</v>
      </c>
      <c r="I109" s="2" t="s">
        <v>153</v>
      </c>
      <c r="J109" s="2" t="s">
        <v>111</v>
      </c>
      <c r="K109" s="2" t="s">
        <v>154</v>
      </c>
      <c r="L109" s="2" t="s">
        <v>616</v>
      </c>
      <c r="M109" s="2">
        <v>4</v>
      </c>
      <c r="N109" s="2">
        <v>1</v>
      </c>
      <c r="O109" s="4" t="s">
        <v>52</v>
      </c>
      <c r="P109" s="2" t="s">
        <v>620</v>
      </c>
      <c r="Q109" s="2" t="s">
        <v>618</v>
      </c>
      <c r="R109" s="2" t="s">
        <v>125</v>
      </c>
      <c r="S109" s="2" t="s">
        <v>621</v>
      </c>
    </row>
    <row r="110" spans="1:19" x14ac:dyDescent="0.25">
      <c r="A110" s="2">
        <v>109</v>
      </c>
      <c r="B110" s="2" t="s">
        <v>19</v>
      </c>
      <c r="C110" s="2" t="s">
        <v>115</v>
      </c>
      <c r="D110" s="2">
        <v>7</v>
      </c>
      <c r="E110" s="2" t="s">
        <v>612</v>
      </c>
      <c r="F110" s="2" t="s">
        <v>613</v>
      </c>
      <c r="G110" s="2" t="s">
        <v>146</v>
      </c>
      <c r="H110" s="2" t="s">
        <v>55</v>
      </c>
      <c r="I110" s="2" t="s">
        <v>119</v>
      </c>
      <c r="J110" s="2" t="s">
        <v>130</v>
      </c>
      <c r="K110" s="2" t="s">
        <v>131</v>
      </c>
      <c r="L110" s="2" t="s">
        <v>616</v>
      </c>
      <c r="M110" s="2">
        <v>3</v>
      </c>
      <c r="N110" s="2">
        <v>1</v>
      </c>
      <c r="O110" s="3" t="s">
        <v>29</v>
      </c>
      <c r="P110" s="2" t="s">
        <v>622</v>
      </c>
      <c r="Q110" s="2" t="s">
        <v>618</v>
      </c>
      <c r="R110" s="2" t="s">
        <v>125</v>
      </c>
      <c r="S110" s="2" t="s">
        <v>623</v>
      </c>
    </row>
    <row r="111" spans="1:19" x14ac:dyDescent="0.25">
      <c r="A111" s="2">
        <v>110</v>
      </c>
      <c r="B111" s="2" t="s">
        <v>19</v>
      </c>
      <c r="C111" s="2" t="s">
        <v>115</v>
      </c>
      <c r="D111" s="2">
        <v>7</v>
      </c>
      <c r="E111" s="2" t="s">
        <v>612</v>
      </c>
      <c r="F111" s="2" t="s">
        <v>613</v>
      </c>
      <c r="G111" s="2" t="s">
        <v>146</v>
      </c>
      <c r="H111" s="2" t="s">
        <v>65</v>
      </c>
      <c r="I111" s="2" t="s">
        <v>624</v>
      </c>
      <c r="J111" s="2" t="s">
        <v>67</v>
      </c>
      <c r="K111" s="2" t="s">
        <v>625</v>
      </c>
      <c r="L111" s="2" t="s">
        <v>626</v>
      </c>
      <c r="M111" s="2">
        <v>5</v>
      </c>
      <c r="N111" s="2">
        <v>1</v>
      </c>
      <c r="O111" s="4" t="s">
        <v>52</v>
      </c>
      <c r="P111" s="2" t="s">
        <v>627</v>
      </c>
      <c r="Q111" s="2" t="s">
        <v>618</v>
      </c>
      <c r="R111" s="2" t="s">
        <v>125</v>
      </c>
      <c r="S111" s="2" t="s">
        <v>628</v>
      </c>
    </row>
    <row r="112" spans="1:19" x14ac:dyDescent="0.25">
      <c r="A112" s="2">
        <v>111</v>
      </c>
      <c r="B112" s="2" t="s">
        <v>19</v>
      </c>
      <c r="C112" s="2" t="s">
        <v>145</v>
      </c>
      <c r="D112" s="2">
        <v>5</v>
      </c>
      <c r="E112" s="2" t="s">
        <v>629</v>
      </c>
      <c r="F112" s="2" t="s">
        <v>630</v>
      </c>
      <c r="G112" s="2" t="s">
        <v>631</v>
      </c>
      <c r="H112" s="2" t="s">
        <v>24</v>
      </c>
      <c r="I112" s="2" t="s">
        <v>632</v>
      </c>
      <c r="J112" s="2" t="s">
        <v>104</v>
      </c>
      <c r="K112" s="2" t="s">
        <v>633</v>
      </c>
      <c r="L112" s="2" t="s">
        <v>634</v>
      </c>
      <c r="M112" s="2">
        <v>4</v>
      </c>
      <c r="N112" s="2">
        <v>7</v>
      </c>
      <c r="O112" s="4" t="s">
        <v>52</v>
      </c>
      <c r="P112" s="2" t="s">
        <v>635</v>
      </c>
      <c r="Q112" s="2" t="s">
        <v>636</v>
      </c>
      <c r="R112" s="2" t="s">
        <v>151</v>
      </c>
      <c r="S112" s="2" t="s">
        <v>637</v>
      </c>
    </row>
    <row r="113" spans="1:19" x14ac:dyDescent="0.25">
      <c r="A113" s="2">
        <v>112</v>
      </c>
      <c r="B113" s="2" t="s">
        <v>19</v>
      </c>
      <c r="C113" s="2" t="s">
        <v>145</v>
      </c>
      <c r="D113" s="2">
        <v>5</v>
      </c>
      <c r="E113" s="2" t="s">
        <v>629</v>
      </c>
      <c r="F113" s="2" t="s">
        <v>630</v>
      </c>
      <c r="G113" s="2" t="s">
        <v>631</v>
      </c>
      <c r="H113" s="2" t="s">
        <v>48</v>
      </c>
      <c r="I113" s="2" t="s">
        <v>543</v>
      </c>
      <c r="J113" s="2" t="s">
        <v>111</v>
      </c>
      <c r="K113" s="2" t="s">
        <v>638</v>
      </c>
      <c r="L113" s="2" t="s">
        <v>634</v>
      </c>
      <c r="M113" s="2">
        <v>4</v>
      </c>
      <c r="N113" s="2">
        <v>7</v>
      </c>
      <c r="O113" s="4" t="s">
        <v>52</v>
      </c>
      <c r="P113" s="2" t="s">
        <v>639</v>
      </c>
      <c r="Q113" s="2" t="s">
        <v>636</v>
      </c>
      <c r="R113" s="2" t="s">
        <v>151</v>
      </c>
      <c r="S113" s="2" t="s">
        <v>640</v>
      </c>
    </row>
    <row r="114" spans="1:19" x14ac:dyDescent="0.25">
      <c r="A114" s="2">
        <v>113</v>
      </c>
      <c r="B114" s="2" t="s">
        <v>19</v>
      </c>
      <c r="C114" s="2" t="s">
        <v>145</v>
      </c>
      <c r="D114" s="2">
        <v>5</v>
      </c>
      <c r="E114" s="2" t="s">
        <v>629</v>
      </c>
      <c r="F114" s="2" t="s">
        <v>630</v>
      </c>
      <c r="G114" s="2" t="s">
        <v>631</v>
      </c>
      <c r="H114" s="2" t="s">
        <v>55</v>
      </c>
      <c r="I114" s="2" t="s">
        <v>559</v>
      </c>
      <c r="J114" s="2" t="s">
        <v>566</v>
      </c>
      <c r="K114" s="2" t="s">
        <v>567</v>
      </c>
      <c r="L114" s="2" t="s">
        <v>634</v>
      </c>
      <c r="M114" s="2">
        <v>3</v>
      </c>
      <c r="N114" s="2">
        <v>7</v>
      </c>
      <c r="O114" s="3" t="s">
        <v>29</v>
      </c>
      <c r="P114" s="2" t="s">
        <v>641</v>
      </c>
      <c r="Q114" s="2" t="s">
        <v>636</v>
      </c>
      <c r="R114" s="2" t="s">
        <v>151</v>
      </c>
      <c r="S114" s="2" t="s">
        <v>642</v>
      </c>
    </row>
    <row r="115" spans="1:19" x14ac:dyDescent="0.25">
      <c r="A115" s="2">
        <v>114</v>
      </c>
      <c r="B115" s="2" t="s">
        <v>19</v>
      </c>
      <c r="C115" s="2" t="s">
        <v>145</v>
      </c>
      <c r="D115" s="2">
        <v>5</v>
      </c>
      <c r="E115" s="2" t="s">
        <v>629</v>
      </c>
      <c r="F115" s="2" t="s">
        <v>630</v>
      </c>
      <c r="G115" s="2" t="s">
        <v>631</v>
      </c>
      <c r="H115" s="2" t="s">
        <v>65</v>
      </c>
      <c r="I115" s="2" t="s">
        <v>643</v>
      </c>
      <c r="J115" s="2" t="s">
        <v>67</v>
      </c>
      <c r="K115" s="2" t="s">
        <v>644</v>
      </c>
      <c r="L115" s="2" t="s">
        <v>645</v>
      </c>
      <c r="M115" s="2">
        <v>5</v>
      </c>
      <c r="N115" s="2">
        <v>7</v>
      </c>
      <c r="O115" s="4" t="s">
        <v>52</v>
      </c>
      <c r="P115" s="2" t="s">
        <v>646</v>
      </c>
      <c r="Q115" s="2" t="s">
        <v>636</v>
      </c>
      <c r="R115" s="2" t="s">
        <v>151</v>
      </c>
      <c r="S115" s="2" t="s">
        <v>647</v>
      </c>
    </row>
    <row r="116" spans="1:19" x14ac:dyDescent="0.25">
      <c r="A116" s="2">
        <v>115</v>
      </c>
      <c r="B116" s="2" t="s">
        <v>19</v>
      </c>
      <c r="C116" s="2" t="s">
        <v>157</v>
      </c>
      <c r="D116" s="2">
        <v>7</v>
      </c>
      <c r="E116" s="2" t="s">
        <v>648</v>
      </c>
      <c r="F116" s="2" t="s">
        <v>649</v>
      </c>
      <c r="G116" s="2" t="s">
        <v>650</v>
      </c>
      <c r="H116" s="2" t="s">
        <v>24</v>
      </c>
      <c r="I116" s="2" t="s">
        <v>651</v>
      </c>
      <c r="J116" s="2" t="s">
        <v>104</v>
      </c>
      <c r="K116" s="2" t="s">
        <v>652</v>
      </c>
      <c r="L116" s="2" t="s">
        <v>653</v>
      </c>
      <c r="M116" s="2">
        <v>4</v>
      </c>
      <c r="N116" s="2">
        <v>6</v>
      </c>
      <c r="O116" s="4" t="s">
        <v>52</v>
      </c>
      <c r="P116" s="2" t="s">
        <v>654</v>
      </c>
      <c r="Q116" s="2" t="s">
        <v>655</v>
      </c>
      <c r="R116" s="2" t="s">
        <v>166</v>
      </c>
      <c r="S116" s="2" t="s">
        <v>656</v>
      </c>
    </row>
    <row r="117" spans="1:19" x14ac:dyDescent="0.25">
      <c r="A117" s="2">
        <v>116</v>
      </c>
      <c r="B117" s="2" t="s">
        <v>19</v>
      </c>
      <c r="C117" s="2" t="s">
        <v>157</v>
      </c>
      <c r="D117" s="2">
        <v>7</v>
      </c>
      <c r="E117" s="2" t="s">
        <v>648</v>
      </c>
      <c r="F117" s="2" t="s">
        <v>649</v>
      </c>
      <c r="G117" s="2" t="s">
        <v>650</v>
      </c>
      <c r="H117" s="2" t="s">
        <v>48</v>
      </c>
      <c r="I117" s="2" t="s">
        <v>657</v>
      </c>
      <c r="J117" s="2" t="s">
        <v>111</v>
      </c>
      <c r="K117" s="2" t="s">
        <v>658</v>
      </c>
      <c r="L117" s="2" t="s">
        <v>653</v>
      </c>
      <c r="M117" s="2">
        <v>4</v>
      </c>
      <c r="N117" s="2">
        <v>6</v>
      </c>
      <c r="O117" s="4" t="s">
        <v>52</v>
      </c>
      <c r="P117" s="2" t="s">
        <v>659</v>
      </c>
      <c r="Q117" s="2" t="s">
        <v>655</v>
      </c>
      <c r="R117" s="2" t="s">
        <v>166</v>
      </c>
      <c r="S117" s="2" t="s">
        <v>660</v>
      </c>
    </row>
    <row r="118" spans="1:19" x14ac:dyDescent="0.25">
      <c r="A118" s="2">
        <v>117</v>
      </c>
      <c r="B118" s="2" t="s">
        <v>19</v>
      </c>
      <c r="C118" s="2" t="s">
        <v>157</v>
      </c>
      <c r="D118" s="2">
        <v>7</v>
      </c>
      <c r="E118" s="2" t="s">
        <v>648</v>
      </c>
      <c r="F118" s="2" t="s">
        <v>649</v>
      </c>
      <c r="G118" s="2" t="s">
        <v>650</v>
      </c>
      <c r="H118" s="2" t="s">
        <v>55</v>
      </c>
      <c r="I118" s="2" t="s">
        <v>661</v>
      </c>
      <c r="J118" s="2" t="s">
        <v>188</v>
      </c>
      <c r="K118" s="2" t="s">
        <v>662</v>
      </c>
      <c r="L118" s="2" t="s">
        <v>653</v>
      </c>
      <c r="M118" s="2">
        <v>4</v>
      </c>
      <c r="N118" s="2">
        <v>6</v>
      </c>
      <c r="O118" s="4" t="s">
        <v>52</v>
      </c>
      <c r="P118" s="2" t="s">
        <v>663</v>
      </c>
      <c r="Q118" s="2" t="s">
        <v>655</v>
      </c>
      <c r="R118" s="2" t="s">
        <v>166</v>
      </c>
      <c r="S118" s="2" t="s">
        <v>664</v>
      </c>
    </row>
    <row r="119" spans="1:19" x14ac:dyDescent="0.25">
      <c r="A119" s="2">
        <v>118</v>
      </c>
      <c r="B119" s="2" t="s">
        <v>19</v>
      </c>
      <c r="C119" s="2" t="s">
        <v>157</v>
      </c>
      <c r="D119" s="2">
        <v>7</v>
      </c>
      <c r="E119" s="2" t="s">
        <v>648</v>
      </c>
      <c r="F119" s="2" t="s">
        <v>649</v>
      </c>
      <c r="G119" s="2" t="s">
        <v>650</v>
      </c>
      <c r="H119" s="2" t="s">
        <v>65</v>
      </c>
      <c r="I119" s="2" t="s">
        <v>665</v>
      </c>
      <c r="J119" s="2" t="s">
        <v>666</v>
      </c>
      <c r="K119" s="2" t="s">
        <v>667</v>
      </c>
      <c r="L119" s="2" t="s">
        <v>668</v>
      </c>
      <c r="M119" s="2">
        <v>5</v>
      </c>
      <c r="N119" s="2">
        <v>6</v>
      </c>
      <c r="O119" s="4" t="s">
        <v>52</v>
      </c>
      <c r="P119" s="2" t="s">
        <v>669</v>
      </c>
      <c r="Q119" s="2" t="s">
        <v>655</v>
      </c>
      <c r="R119" s="2" t="s">
        <v>166</v>
      </c>
      <c r="S119" s="2" t="s">
        <v>670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30" customWidth="1"/>
    <col min="2" max="2" width="55" customWidth="1"/>
    <col min="3" max="5" width="12" customWidth="1"/>
  </cols>
  <sheetData>
    <row r="1" spans="1:5" x14ac:dyDescent="0.25">
      <c r="A1" s="6" t="s">
        <v>671</v>
      </c>
      <c r="B1" s="6" t="s">
        <v>672</v>
      </c>
      <c r="C1" s="6" t="s">
        <v>673</v>
      </c>
      <c r="D1" s="6" t="s">
        <v>674</v>
      </c>
      <c r="E1" s="6" t="s">
        <v>675</v>
      </c>
    </row>
    <row r="2" spans="1:5" x14ac:dyDescent="0.25">
      <c r="A2" t="s">
        <v>676</v>
      </c>
      <c r="B2" t="s">
        <v>677</v>
      </c>
      <c r="C2">
        <f>COUNTA(FC_Chain_Data!A2:A119)</f>
      </c>
      <c r="D2">
        <v>118</v>
      </c>
      <c r="E2">
        <f>IF(C2=D2,"✅ PASS","❌ FAIL")</f>
      </c>
    </row>
    <row r="3" spans="1:5" x14ac:dyDescent="0.25">
      <c r="A3" t="s">
        <v>678</v>
      </c>
      <c r="B3" t="s">
        <v>679</v>
      </c>
      <c r="C3">
        <f>COUNTBLANK(FC_Chain_Data!B2:B119)</f>
      </c>
      <c r="D3">
        <v>0</v>
      </c>
      <c r="E3">
        <f>IF(C3=D3,"✅ PASS","❌ FAIL")</f>
      </c>
    </row>
    <row r="4" spans="1:5" x14ac:dyDescent="0.25">
      <c r="A4" t="s">
        <v>680</v>
      </c>
      <c r="B4" t="s">
        <v>681</v>
      </c>
      <c r="C4">
        <f>COUNTBLANK(FC_Chain_Data!C2:C119)</f>
      </c>
      <c r="D4">
        <v>0</v>
      </c>
      <c r="E4">
        <f>IF(C4=D4,"✅ PASS","❌ FAIL")</f>
      </c>
    </row>
    <row r="5" spans="1:5" x14ac:dyDescent="0.25">
      <c r="A5" t="s">
        <v>682</v>
      </c>
      <c r="B5" t="s">
        <v>683</v>
      </c>
      <c r="C5">
        <f>COUNTIF(FC_Chain_Data!D2:D119,0)</f>
      </c>
      <c r="D5">
        <v>0</v>
      </c>
      <c r="E5">
        <f>IF(C5=D5,"✅ PASS","❌ FAIL")</f>
      </c>
    </row>
    <row r="6" spans="1:5" x14ac:dyDescent="0.25">
      <c r="A6" t="s">
        <v>684</v>
      </c>
      <c r="B6" t="s">
        <v>685</v>
      </c>
      <c r="C6">
        <f>COUNTBLANK(FC_Chain_Data!E2:E119)</f>
      </c>
      <c r="D6">
        <v>0</v>
      </c>
      <c r="E6">
        <f>IF(C6=D6,"✅ PASS","❌ FAIL")</f>
      </c>
    </row>
    <row r="7" spans="1:5" x14ac:dyDescent="0.25">
      <c r="A7" t="s">
        <v>686</v>
      </c>
      <c r="B7" t="s">
        <v>687</v>
      </c>
      <c r="C7">
        <f>COUNTBLANK(FC_Chain_Data!G2:G119)</f>
      </c>
      <c r="D7">
        <v>0</v>
      </c>
      <c r="E7">
        <f>IF(C7=D7,"✅ PASS","❌ FAIL")</f>
      </c>
    </row>
    <row r="8" spans="1:5" x14ac:dyDescent="0.25">
      <c r="A8" t="s">
        <v>688</v>
      </c>
      <c r="B8" t="s">
        <v>689</v>
      </c>
      <c r="C8">
        <f>COUNTBLANK(FC_Chain_Data!H2:H119)</f>
      </c>
      <c r="D8">
        <v>0</v>
      </c>
      <c r="E8">
        <f>IF(C8=D8,"✅ PASS","❌ FAIL")</f>
      </c>
    </row>
    <row r="9" spans="1:5" x14ac:dyDescent="0.25">
      <c r="A9" t="s">
        <v>690</v>
      </c>
      <c r="B9" t="s">
        <v>691</v>
      </c>
      <c r="C9">
        <f>COUNTBLANK(FC_Chain_Data!I2:I119)</f>
      </c>
      <c r="D9">
        <v>0</v>
      </c>
      <c r="E9">
        <f>IF(C9=D9,"✅ PASS","❌ FAIL")</f>
      </c>
    </row>
    <row r="10" spans="1:5" x14ac:dyDescent="0.25">
      <c r="A10" t="s">
        <v>692</v>
      </c>
      <c r="B10" t="s">
        <v>693</v>
      </c>
      <c r="C10">
        <f>COUNTBLANK(FC_Chain_Data!J2:J119)</f>
      </c>
      <c r="D10">
        <v>0</v>
      </c>
      <c r="E10">
        <f>IF(C10=D10,"✅ PASS","❌ FAIL")</f>
      </c>
    </row>
    <row r="11" spans="1:5" x14ac:dyDescent="0.25">
      <c r="A11" t="s">
        <v>694</v>
      </c>
      <c r="B11" t="s">
        <v>695</v>
      </c>
      <c r="C11">
        <f>COUNTBLANK(FC_Chain_Data!K2:K119)</f>
      </c>
      <c r="D11">
        <v>0</v>
      </c>
      <c r="E11">
        <f>IF(C11=D11,"✅ PASS","❌ FAIL")</f>
      </c>
    </row>
    <row r="12" spans="1:5" x14ac:dyDescent="0.25">
      <c r="A12" t="s">
        <v>696</v>
      </c>
      <c r="B12" t="s">
        <v>697</v>
      </c>
      <c r="C12">
        <f>COUNTBLANK(FC_Chain_Data!L2:L119)</f>
      </c>
      <c r="D12">
        <v>0</v>
      </c>
      <c r="E12">
        <f>IF(C12=D12,"✅ PASS","❌ FAIL")</f>
      </c>
    </row>
    <row r="13" spans="1:5" x14ac:dyDescent="0.25">
      <c r="A13" t="s">
        <v>698</v>
      </c>
      <c r="B13" t="s">
        <v>699</v>
      </c>
      <c r="C13">
        <f>COUNTBLANK(FC_Chain_Data!O2:O119)</f>
      </c>
      <c r="D13">
        <v>0</v>
      </c>
      <c r="E13">
        <f>IF(C13=D13,"✅ PASS","❌ FAIL")</f>
      </c>
    </row>
    <row r="14" spans="1:5" x14ac:dyDescent="0.25">
      <c r="A14" t="s">
        <v>700</v>
      </c>
      <c r="B14" t="s">
        <v>701</v>
      </c>
      <c r="C14">
        <f>COUNTBLANK(FC_Chain_Data!P2:P119)</f>
      </c>
      <c r="D14">
        <v>0</v>
      </c>
      <c r="E14">
        <f>IF(C14=D14,"✅ PASS","❌ FAIL")</f>
      </c>
    </row>
    <row r="15" spans="1:5" x14ac:dyDescent="0.25">
      <c r="A15" t="s">
        <v>702</v>
      </c>
      <c r="B15" t="s">
        <v>703</v>
      </c>
      <c r="C15">
        <f>COUNTBLANK(FC_Chain_Data!Q2:Q119)</f>
      </c>
      <c r="D15">
        <v>0</v>
      </c>
      <c r="E15">
        <f>IF(C15=D15,"✅ PASS","❌ FAIL")</f>
      </c>
    </row>
    <row r="16" spans="1:5" x14ac:dyDescent="0.25">
      <c r="A16" t="s">
        <v>704</v>
      </c>
      <c r="B16" t="s">
        <v>705</v>
      </c>
      <c r="C16">
        <f>COUNTBLANK(FC_Chain_Data!R2:R119)</f>
      </c>
      <c r="D16">
        <v>0</v>
      </c>
      <c r="E16">
        <f>IF(C16=D16,"✅ PASS","❌ FAIL")</f>
      </c>
    </row>
    <row r="17" spans="1:5" x14ac:dyDescent="0.25">
      <c r="A17" t="s">
        <v>706</v>
      </c>
      <c r="B17" t="s">
        <v>707</v>
      </c>
      <c r="C17">
        <f>COUNTBLANK(FC_Chain_Data!S2:S119)</f>
      </c>
      <c r="D17">
        <v>0</v>
      </c>
      <c r="E17">
        <f>IF(C17=D17,"✅ PASS","❌ FAIL")</f>
      </c>
    </row>
    <row r="18" spans="1:5" x14ac:dyDescent="0.25">
      <c r="A18" t="s">
        <v>708</v>
      </c>
      <c r="B18" t="s">
        <v>709</v>
      </c>
      <c r="C18">
        <f>SUMPRODUCT(1/COUNTIF(FC_Chain_Data!S2:S119,FC_Chain_Data!S2:S119))</f>
      </c>
      <c r="D18">
        <v>117</v>
      </c>
      <c r="E18">
        <f>IF(C18=D18,"✅ PASS","❌ FAIL")</f>
      </c>
    </row>
    <row r="19" spans="1:5" x14ac:dyDescent="0.25">
      <c r="A19" t="s">
        <v>710</v>
      </c>
      <c r="B19" t="s">
        <v>711</v>
      </c>
      <c r="C19">
        <f>SUMPRODUCT(1/COUNTIF(FC_Chain_Data!G2:G119,FC_Chain_Data!G2:G119))</f>
      </c>
      <c r="D19">
        <v>26</v>
      </c>
      <c r="E19">
        <f>IF(C19=D19,"✅ PASS","❌ FAIL")</f>
      </c>
    </row>
    <row r="20" spans="1:5" x14ac:dyDescent="0.25">
      <c r="A20" t="s">
        <v>712</v>
      </c>
      <c r="B20" t="s">
        <v>713</v>
      </c>
      <c r="C20">
        <f>SUMPRODUCT(1/COUNTIF(FC_Chain_Data!C2:C119,FC_Chain_Data!C2:C119))</f>
      </c>
      <c r="D20">
        <v>20</v>
      </c>
      <c r="E20">
        <f>IF(C20=D20,"✅ PASS","❌ FAIL")</f>
      </c>
    </row>
    <row r="21" spans="1:5" x14ac:dyDescent="0.25">
      <c r="A21" t="s">
        <v>714</v>
      </c>
      <c r="B21" t="s">
        <v>715</v>
      </c>
      <c r="C21">
        <f>SUMPRODUCT(1/COUNTIF(FC_Chain_Data!E2:E119,FC_Chain_Data!E2:E119))</f>
      </c>
      <c r="D21">
        <v>21</v>
      </c>
      <c r="E21">
        <f>IF(C21=D21,"✅ PASS","❌ FAIL")</f>
      </c>
    </row>
    <row r="23" spans="1:5" x14ac:dyDescent="0.25">
      <c r="A23" s="7" t="s">
        <v>716</v>
      </c>
      <c r="E23" s="8">
        <f>IF(COUNTIF(E2:E21,"❌ FAIL")=0,"✅ ALL PASS","❌ FAIL 있음")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1" width="8" customWidth="1"/>
    <col min="2" max="2" width="18" customWidth="1"/>
    <col min="3" max="3" width="10" customWidth="1"/>
    <col min="4" max="4" width="20" customWidth="1"/>
    <col min="5" max="5" width="10" customWidth="1"/>
    <col min="6" max="6" width="20" customWidth="1"/>
    <col min="7" max="8" width="10" customWidth="1"/>
  </cols>
  <sheetData>
    <row r="1" spans="1:8" x14ac:dyDescent="0.25">
      <c r="A1" s="9" t="s">
        <v>717</v>
      </c>
      <c r="B1" s="9" t="s">
        <v>5</v>
      </c>
      <c r="C1" s="9" t="s">
        <v>718</v>
      </c>
      <c r="D1" s="9" t="s">
        <v>719</v>
      </c>
      <c r="E1" s="9" t="s">
        <v>720</v>
      </c>
      <c r="F1" s="9" t="s">
        <v>721</v>
      </c>
      <c r="G1" s="9" t="s">
        <v>722</v>
      </c>
      <c r="H1" s="9" t="s">
        <v>723</v>
      </c>
    </row>
    <row r="2" spans="1:8" x14ac:dyDescent="0.25">
      <c r="A2" t="s">
        <v>21</v>
      </c>
      <c r="B2" t="s">
        <v>22</v>
      </c>
      <c r="C2">
        <v>1</v>
      </c>
      <c r="D2">
        <f>SUMPRODUCT((FC_Chain_Data!E2:E119="01")*1/COUNTIFS(FC_Chain_Data!E2:E119,"01",FC_Chain_Data!G2:G119,FC_Chain_Data!G2:G119))</f>
      </c>
      <c r="E2">
        <v>8</v>
      </c>
      <c r="F2">
        <f>COUNTIF(FC_Chain_Data!E2:E119,"01")</f>
      </c>
      <c r="G2">
        <f>IF(C2=D2,"✅","❌")</f>
      </c>
      <c r="H2">
        <f>IF(E2=F2,"✅","❌")</f>
      </c>
    </row>
    <row r="3" spans="1:8" x14ac:dyDescent="0.25">
      <c r="A3" t="s">
        <v>72</v>
      </c>
      <c r="B3" t="s">
        <v>73</v>
      </c>
      <c r="C3">
        <v>2</v>
      </c>
      <c r="D3">
        <f>SUMPRODUCT((FC_Chain_Data!E2:E119="10")*1/COUNTIFS(FC_Chain_Data!E2:E119,"10",FC_Chain_Data!G2:G119,FC_Chain_Data!G2:G119))</f>
      </c>
      <c r="E3">
        <v>7</v>
      </c>
      <c r="F3">
        <f>COUNTIF(FC_Chain_Data!E2:E119,"10")</f>
      </c>
      <c r="G3">
        <f>IF(C3=D3,"✅","❌")</f>
      </c>
      <c r="H3">
        <f>IF(E3=F3,"✅","❌")</f>
      </c>
    </row>
    <row r="4" spans="1:8" x14ac:dyDescent="0.25">
      <c r="A4" t="s">
        <v>116</v>
      </c>
      <c r="B4" t="s">
        <v>117</v>
      </c>
      <c r="C4">
        <v>2</v>
      </c>
      <c r="D4">
        <f>SUMPRODUCT((FC_Chain_Data!E2:E119="20")*1/COUNTIFS(FC_Chain_Data!E2:E119,"20",FC_Chain_Data!G2:G119,FC_Chain_Data!G2:G119))</f>
      </c>
      <c r="E4">
        <v>7</v>
      </c>
      <c r="F4">
        <f>COUNTIF(FC_Chain_Data!E2:E119,"20")</f>
      </c>
      <c r="G4">
        <f>IF(C4=D4,"✅","❌")</f>
      </c>
      <c r="H4">
        <f>IF(E4=F4,"✅","❌")</f>
      </c>
    </row>
    <row r="5" spans="1:8" x14ac:dyDescent="0.25">
      <c r="A5" t="s">
        <v>158</v>
      </c>
      <c r="B5" t="s">
        <v>159</v>
      </c>
      <c r="C5">
        <v>1</v>
      </c>
      <c r="D5">
        <f>SUMPRODUCT((FC_Chain_Data!E2:E119="30")*1/COUNTIFS(FC_Chain_Data!E2:E119,"30",FC_Chain_Data!G2:G119,FC_Chain_Data!G2:G119))</f>
      </c>
      <c r="E5">
        <v>4</v>
      </c>
      <c r="F5">
        <f>COUNTIF(FC_Chain_Data!E2:E119,"30")</f>
      </c>
      <c r="G5">
        <f>IF(C5=D5,"✅","❌")</f>
      </c>
      <c r="H5">
        <f>IF(E5=F5,"✅","❌")</f>
      </c>
    </row>
    <row r="6" spans="1:8" x14ac:dyDescent="0.25">
      <c r="A6" t="s">
        <v>184</v>
      </c>
      <c r="B6" t="s">
        <v>185</v>
      </c>
      <c r="C6">
        <v>2</v>
      </c>
      <c r="D6">
        <f>SUMPRODUCT((FC_Chain_Data!E2:E119="40")*1/COUNTIFS(FC_Chain_Data!E2:E119,"40",FC_Chain_Data!G2:G119,FC_Chain_Data!G2:G119))</f>
      </c>
      <c r="E6">
        <v>14</v>
      </c>
      <c r="F6">
        <f>COUNTIF(FC_Chain_Data!E2:E119,"40")</f>
      </c>
      <c r="G6">
        <f>IF(C6=D6,"✅","❌")</f>
      </c>
      <c r="H6">
        <f>IF(E6=F6,"✅","❌")</f>
      </c>
    </row>
    <row r="7" spans="1:8" x14ac:dyDescent="0.25">
      <c r="A7" t="s">
        <v>247</v>
      </c>
      <c r="B7" t="s">
        <v>248</v>
      </c>
      <c r="C7">
        <v>1</v>
      </c>
      <c r="D7">
        <f>SUMPRODUCT((FC_Chain_Data!E2:E119="50")*1/COUNTIFS(FC_Chain_Data!E2:E119,"50",FC_Chain_Data!G2:G119,FC_Chain_Data!G2:G119))</f>
      </c>
      <c r="E7">
        <v>4</v>
      </c>
      <c r="F7">
        <f>COUNTIF(FC_Chain_Data!E2:E119,"50")</f>
      </c>
      <c r="G7">
        <f>IF(C7=D7,"✅","❌")</f>
      </c>
      <c r="H7">
        <f>IF(E7=F7,"✅","❌")</f>
      </c>
    </row>
    <row r="8" spans="1:8" x14ac:dyDescent="0.25">
      <c r="A8" t="s">
        <v>264</v>
      </c>
      <c r="B8" t="s">
        <v>265</v>
      </c>
      <c r="C8">
        <v>1</v>
      </c>
      <c r="D8">
        <f>SUMPRODUCT((FC_Chain_Data!E2:E119="60")*1/COUNTIFS(FC_Chain_Data!E2:E119,"60",FC_Chain_Data!G2:G119,FC_Chain_Data!G2:G119))</f>
      </c>
      <c r="E8">
        <v>4</v>
      </c>
      <c r="F8">
        <f>COUNTIF(FC_Chain_Data!E2:E119,"60")</f>
      </c>
      <c r="G8">
        <f>IF(C8=D8,"✅","❌")</f>
      </c>
      <c r="H8">
        <f>IF(E8=F8,"✅","❌")</f>
      </c>
    </row>
    <row r="9" spans="1:8" x14ac:dyDescent="0.25">
      <c r="A9" t="s">
        <v>290</v>
      </c>
      <c r="B9" t="s">
        <v>291</v>
      </c>
      <c r="C9">
        <v>1</v>
      </c>
      <c r="D9">
        <f>SUMPRODUCT((FC_Chain_Data!E2:E119="70")*1/COUNTIFS(FC_Chain_Data!E2:E119,"70",FC_Chain_Data!G2:G119,FC_Chain_Data!G2:G119))</f>
      </c>
      <c r="E9">
        <v>4</v>
      </c>
      <c r="F9">
        <f>COUNTIF(FC_Chain_Data!E2:E119,"70")</f>
      </c>
      <c r="G9">
        <f>IF(C9=D9,"✅","❌")</f>
      </c>
      <c r="H9">
        <f>IF(E9=F9,"✅","❌")</f>
      </c>
    </row>
    <row r="10" spans="1:8" x14ac:dyDescent="0.25">
      <c r="A10" t="s">
        <v>316</v>
      </c>
      <c r="B10" t="s">
        <v>317</v>
      </c>
      <c r="C10">
        <v>1</v>
      </c>
      <c r="D10">
        <f>SUMPRODUCT((FC_Chain_Data!E2:E119="80")*1/COUNTIFS(FC_Chain_Data!E2:E119,"80",FC_Chain_Data!G2:G119,FC_Chain_Data!G2:G119))</f>
      </c>
      <c r="E10">
        <v>4</v>
      </c>
      <c r="F10">
        <f>COUNTIF(FC_Chain_Data!E2:E119,"80")</f>
      </c>
      <c r="G10">
        <f>IF(C10=D10,"✅","❌")</f>
      </c>
      <c r="H10">
        <f>IF(E10=F10,"✅","❌")</f>
      </c>
    </row>
    <row r="11" spans="1:8" x14ac:dyDescent="0.25">
      <c r="A11" t="s">
        <v>343</v>
      </c>
      <c r="B11" t="s">
        <v>344</v>
      </c>
      <c r="C11">
        <v>1</v>
      </c>
      <c r="D11">
        <f>SUMPRODUCT((FC_Chain_Data!E2:E119="90")*1/COUNTIFS(FC_Chain_Data!E2:E119,"90",FC_Chain_Data!G2:G119,FC_Chain_Data!G2:G119))</f>
      </c>
      <c r="E11">
        <v>4</v>
      </c>
      <c r="F11">
        <f>COUNTIF(FC_Chain_Data!E2:E119,"90")</f>
      </c>
      <c r="G11">
        <f>IF(C11=D11,"✅","❌")</f>
      </c>
      <c r="H11">
        <f>IF(E11=F11,"✅","❌")</f>
      </c>
    </row>
    <row r="12" spans="1:8" x14ac:dyDescent="0.25">
      <c r="A12" t="s">
        <v>369</v>
      </c>
      <c r="B12" t="s">
        <v>370</v>
      </c>
      <c r="C12">
        <v>2</v>
      </c>
      <c r="D12">
        <f>SUMPRODUCT((FC_Chain_Data!E2:E119="100")*1/COUNTIFS(FC_Chain_Data!E2:E119,"100",FC_Chain_Data!G2:G119,FC_Chain_Data!G2:G119))</f>
      </c>
      <c r="E12">
        <v>9</v>
      </c>
      <c r="F12">
        <f>COUNTIF(FC_Chain_Data!E2:E119,"100")</f>
      </c>
      <c r="G12">
        <f>IF(C12=D12,"✅","❌")</f>
      </c>
      <c r="H12">
        <f>IF(E12=F12,"✅","❌")</f>
      </c>
    </row>
    <row r="13" spans="1:8" x14ac:dyDescent="0.25">
      <c r="A13" t="s">
        <v>417</v>
      </c>
      <c r="B13" t="s">
        <v>418</v>
      </c>
      <c r="C13">
        <v>1</v>
      </c>
      <c r="D13">
        <f>SUMPRODUCT((FC_Chain_Data!E2:E119="110")*1/COUNTIFS(FC_Chain_Data!E2:E119,"110",FC_Chain_Data!G2:G119,FC_Chain_Data!G2:G119))</f>
      </c>
      <c r="E13">
        <v>4</v>
      </c>
      <c r="F13">
        <f>COUNTIF(FC_Chain_Data!E2:E119,"110")</f>
      </c>
      <c r="G13">
        <f>IF(C13=D13,"✅","❌")</f>
      </c>
      <c r="H13">
        <f>IF(E13=F13,"✅","❌")</f>
      </c>
    </row>
    <row r="14" spans="1:8" x14ac:dyDescent="0.25">
      <c r="A14" t="s">
        <v>442</v>
      </c>
      <c r="B14" t="s">
        <v>443</v>
      </c>
      <c r="C14">
        <v>1</v>
      </c>
      <c r="D14">
        <f>SUMPRODUCT((FC_Chain_Data!E2:E119="120")*1/COUNTIFS(FC_Chain_Data!E2:E119,"120",FC_Chain_Data!G2:G119,FC_Chain_Data!G2:G119))</f>
      </c>
      <c r="E14">
        <v>6</v>
      </c>
      <c r="F14">
        <f>COUNTIF(FC_Chain_Data!E2:E119,"120")</f>
      </c>
      <c r="G14">
        <f>IF(C14=D14,"✅","❌")</f>
      </c>
      <c r="H14">
        <f>IF(E14=F14,"✅","❌")</f>
      </c>
    </row>
    <row r="15" spans="1:8" x14ac:dyDescent="0.25">
      <c r="A15" t="s">
        <v>475</v>
      </c>
      <c r="B15" t="s">
        <v>476</v>
      </c>
      <c r="C15">
        <v>1</v>
      </c>
      <c r="D15">
        <f>SUMPRODUCT((FC_Chain_Data!E2:E119="130")*1/COUNTIFS(FC_Chain_Data!E2:E119,"130",FC_Chain_Data!G2:G119,FC_Chain_Data!G2:G119))</f>
      </c>
      <c r="E15">
        <v>5</v>
      </c>
      <c r="F15">
        <f>COUNTIF(FC_Chain_Data!E2:E119,"130")</f>
      </c>
      <c r="G15">
        <f>IF(C15=D15,"✅","❌")</f>
      </c>
      <c r="H15">
        <f>IF(E15=F15,"✅","❌")</f>
      </c>
    </row>
    <row r="16" spans="1:8" x14ac:dyDescent="0.25">
      <c r="A16" t="s">
        <v>504</v>
      </c>
      <c r="B16" t="s">
        <v>505</v>
      </c>
      <c r="C16">
        <v>1</v>
      </c>
      <c r="D16">
        <f>SUMPRODUCT((FC_Chain_Data!E2:E119="140")*1/COUNTIFS(FC_Chain_Data!E2:E119,"140",FC_Chain_Data!G2:G119,FC_Chain_Data!G2:G119))</f>
      </c>
      <c r="E16">
        <v>5</v>
      </c>
      <c r="F16">
        <f>COUNTIF(FC_Chain_Data!E2:E119,"140")</f>
      </c>
      <c r="G16">
        <f>IF(C16=D16,"✅","❌")</f>
      </c>
      <c r="H16">
        <f>IF(E16=F16,"✅","❌")</f>
      </c>
    </row>
    <row r="17" spans="1:8" x14ac:dyDescent="0.25">
      <c r="A17" t="s">
        <v>534</v>
      </c>
      <c r="B17" t="s">
        <v>535</v>
      </c>
      <c r="C17">
        <v>2</v>
      </c>
      <c r="D17">
        <f>SUMPRODUCT((FC_Chain_Data!E2:E119="150")*1/COUNTIFS(FC_Chain_Data!E2:E119,"150",FC_Chain_Data!G2:G119,FC_Chain_Data!G2:G119))</f>
      </c>
      <c r="E17">
        <v>9</v>
      </c>
      <c r="F17">
        <f>COUNTIF(FC_Chain_Data!E2:E119,"150")</f>
      </c>
      <c r="G17">
        <f>IF(C17=D17,"✅","❌")</f>
      </c>
      <c r="H17">
        <f>IF(E17=F17,"✅","❌")</f>
      </c>
    </row>
    <row r="18" spans="1:8" x14ac:dyDescent="0.25">
      <c r="A18" t="s">
        <v>578</v>
      </c>
      <c r="B18" t="s">
        <v>579</v>
      </c>
      <c r="C18">
        <v>1</v>
      </c>
      <c r="D18">
        <f>SUMPRODUCT((FC_Chain_Data!E2:E119="160")*1/COUNTIFS(FC_Chain_Data!E2:E119,"160",FC_Chain_Data!G2:G119,FC_Chain_Data!G2:G119))</f>
      </c>
      <c r="E18">
        <v>4</v>
      </c>
      <c r="F18">
        <f>COUNTIF(FC_Chain_Data!E2:E119,"160")</f>
      </c>
      <c r="G18">
        <f>IF(C18=D18,"✅","❌")</f>
      </c>
      <c r="H18">
        <f>IF(E18=F18,"✅","❌")</f>
      </c>
    </row>
    <row r="19" spans="1:8" x14ac:dyDescent="0.25">
      <c r="A19" t="s">
        <v>595</v>
      </c>
      <c r="B19" t="s">
        <v>596</v>
      </c>
      <c r="C19">
        <v>1</v>
      </c>
      <c r="D19">
        <f>SUMPRODUCT((FC_Chain_Data!E2:E119="170")*1/COUNTIFS(FC_Chain_Data!E2:E119,"170",FC_Chain_Data!G2:G119,FC_Chain_Data!G2:G119))</f>
      </c>
      <c r="E19">
        <v>4</v>
      </c>
      <c r="F19">
        <f>COUNTIF(FC_Chain_Data!E2:E119,"170")</f>
      </c>
      <c r="G19">
        <f>IF(C19=D19,"✅","❌")</f>
      </c>
      <c r="H19">
        <f>IF(E19=F19,"✅","❌")</f>
      </c>
    </row>
    <row r="20" spans="1:8" x14ac:dyDescent="0.25">
      <c r="A20" t="s">
        <v>612</v>
      </c>
      <c r="B20" t="s">
        <v>613</v>
      </c>
      <c r="C20">
        <v>1</v>
      </c>
      <c r="D20">
        <f>SUMPRODUCT((FC_Chain_Data!E2:E119="180")*1/COUNTIFS(FC_Chain_Data!E2:E119,"180",FC_Chain_Data!G2:G119,FC_Chain_Data!G2:G119))</f>
      </c>
      <c r="E20">
        <v>4</v>
      </c>
      <c r="F20">
        <f>COUNTIF(FC_Chain_Data!E2:E119,"180")</f>
      </c>
      <c r="G20">
        <f>IF(C20=D20,"✅","❌")</f>
      </c>
      <c r="H20">
        <f>IF(E20=F20,"✅","❌")</f>
      </c>
    </row>
    <row r="21" spans="1:8" x14ac:dyDescent="0.25">
      <c r="A21" t="s">
        <v>629</v>
      </c>
      <c r="B21" t="s">
        <v>630</v>
      </c>
      <c r="C21">
        <v>1</v>
      </c>
      <c r="D21">
        <f>SUMPRODUCT((FC_Chain_Data!E2:E119="190")*1/COUNTIFS(FC_Chain_Data!E2:E119,"190",FC_Chain_Data!G2:G119,FC_Chain_Data!G2:G119))</f>
      </c>
      <c r="E21">
        <v>4</v>
      </c>
      <c r="F21">
        <f>COUNTIF(FC_Chain_Data!E2:E119,"190")</f>
      </c>
      <c r="G21">
        <f>IF(C21=D21,"✅","❌")</f>
      </c>
      <c r="H21">
        <f>IF(E21=F21,"✅","❌")</f>
      </c>
    </row>
    <row r="22" spans="1:8" x14ac:dyDescent="0.25">
      <c r="A22" t="s">
        <v>648</v>
      </c>
      <c r="B22" t="s">
        <v>649</v>
      </c>
      <c r="C22">
        <v>1</v>
      </c>
      <c r="D22">
        <f>SUMPRODUCT((FC_Chain_Data!E2:E119="200")*1/COUNTIFS(FC_Chain_Data!E2:E119,"200",FC_Chain_Data!G2:G119,FC_Chain_Data!G2:G119))</f>
      </c>
      <c r="E22">
        <v>4</v>
      </c>
      <c r="F22">
        <f>COUNTIF(FC_Chain_Data!E2:E119,"200")</f>
      </c>
      <c r="G22">
        <f>IF(C22=D22,"✅","❌")</f>
      </c>
      <c r="H22">
        <f>IF(E22=F22,"✅","❌")</f>
      </c>
    </row>
    <row r="23" spans="1:8" x14ac:dyDescent="0.25">
      <c r="A23" s="10" t="s">
        <v>724</v>
      </c>
      <c r="C23">
        <v>26</v>
      </c>
      <c r="D23">
        <f>SUM(D2:D22)</f>
      </c>
      <c r="E23">
        <v>118</v>
      </c>
      <c r="F23">
        <f>SUM(F2:F22)</f>
      </c>
      <c r="G23">
        <f>IF(C23=D23,"✅ ALL","❌")</f>
      </c>
      <c r="H23">
        <f>IF(E23=F23,"✅ ALL","❌")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5" customWidth="1"/>
    <col min="2" max="2" width="60" customWidth="1"/>
    <col min="3" max="5" width="12" customWidth="1"/>
  </cols>
  <sheetData>
    <row r="1" spans="1:5" x14ac:dyDescent="0.25">
      <c r="A1" s="11" t="s">
        <v>671</v>
      </c>
      <c r="B1" s="11" t="s">
        <v>725</v>
      </c>
      <c r="C1" s="11" t="s">
        <v>673</v>
      </c>
      <c r="D1" s="11" t="s">
        <v>674</v>
      </c>
      <c r="E1" s="11" t="s">
        <v>675</v>
      </c>
    </row>
    <row r="2" spans="1:5" x14ac:dyDescent="0.25">
      <c r="A2" t="s">
        <v>726</v>
      </c>
      <c r="B2" t="s">
        <v>727</v>
      </c>
      <c r="C2">
        <f>SUMPRODUCT(1/COUNTIF(FC_Chain_Data!P2:P119,FC_Chain_Data!P2:P119))</f>
      </c>
      <c r="D2">
        <v>118</v>
      </c>
      <c r="E2">
        <f>IF(C2=D2,"✅ PASS","❌ FAIL")</f>
      </c>
    </row>
    <row r="3" spans="1:5" x14ac:dyDescent="0.25">
      <c r="A3" t="s">
        <v>708</v>
      </c>
      <c r="B3" t="s">
        <v>709</v>
      </c>
      <c r="C3">
        <f>SUMPRODUCT(1/COUNTIF(FC_Chain_Data!S2:S119,FC_Chain_Data!S2:S119))</f>
      </c>
      <c r="D3">
        <v>117</v>
      </c>
      <c r="E3">
        <f>IF(C3=D3,"✅ PASS","❌ FAIL")</f>
      </c>
    </row>
    <row r="4" spans="1:5" x14ac:dyDescent="0.25">
      <c r="A4" t="s">
        <v>728</v>
      </c>
      <c r="B4" t="s">
        <v>729</v>
      </c>
      <c r="C4">
        <f>SUMPRODUCT(1/COUNTIF(FC_Chain_Data!Q2:Q119,FC_Chain_Data!Q2:Q119))</f>
      </c>
      <c r="D4">
        <v>26</v>
      </c>
      <c r="E4">
        <f>IF(C4=D4,"✅ PASS","❌ FAIL")</f>
      </c>
    </row>
    <row r="5" spans="1:5" x14ac:dyDescent="0.25">
      <c r="A5" t="s">
        <v>730</v>
      </c>
      <c r="B5" t="s">
        <v>731</v>
      </c>
      <c r="C5">
        <f>SUMPRODUCT(1/COUNTIF(FC_Chain_Data!R2:R119,FC_Chain_Data!R2:R119))</f>
      </c>
      <c r="D5">
        <v>20</v>
      </c>
      <c r="E5">
        <f>IF(C5=D5,"✅ PASS","❌ FAIL")</f>
      </c>
    </row>
    <row r="6" spans="1:5" x14ac:dyDescent="0.25">
      <c r="A6" t="s">
        <v>732</v>
      </c>
      <c r="B6" t="s">
        <v>733</v>
      </c>
      <c r="C6">
        <f>COUNTA(FC_Chain_Data!P2:P119)</f>
      </c>
      <c r="D6">
        <v>118</v>
      </c>
      <c r="E6">
        <f>IF(C6=D6,"✅ PASS","❌ FAIL")</f>
      </c>
    </row>
    <row r="7" spans="1:5" x14ac:dyDescent="0.25">
      <c r="A7" t="s">
        <v>734</v>
      </c>
      <c r="B7" t="s">
        <v>735</v>
      </c>
      <c r="C7">
        <f>COUNTIF(FC_Chain_Data!Q2:Q119,"PF-L2-*")</f>
      </c>
      <c r="D7">
        <v>118</v>
      </c>
      <c r="E7">
        <f>IF(C7=D7,"✅ PASS","❌ FAIL")</f>
      </c>
    </row>
    <row r="8" spans="1:5" x14ac:dyDescent="0.25">
      <c r="A8" t="s">
        <v>736</v>
      </c>
      <c r="B8" t="s">
        <v>737</v>
      </c>
      <c r="C8">
        <f>COUNTIF(FC_Chain_Data!R2:R119,"PF-L1-*")</f>
      </c>
      <c r="D8">
        <v>118</v>
      </c>
      <c r="E8">
        <f>IF(C8=D8,"✅ PASS","❌ FAIL")</f>
      </c>
    </row>
    <row r="9" spans="1:5" x14ac:dyDescent="0.25">
      <c r="A9" t="s">
        <v>738</v>
      </c>
      <c r="B9" t="s">
        <v>739</v>
      </c>
      <c r="C9">
        <f>COUNTIF(FC_Chain_Data!S2:S119,"PF-L3-*")</f>
      </c>
      <c r="D9">
        <v>118</v>
      </c>
      <c r="E9">
        <f>IF(C9=D9,"✅ PASS","❌ FAIL")</f>
      </c>
    </row>
    <row r="10" spans="1:5" x14ac:dyDescent="0.25">
      <c r="A10" t="s">
        <v>740</v>
      </c>
      <c r="B10" t="s">
        <v>741</v>
      </c>
      <c r="C10">
        <f>COUNTIF(FC_Chain_Data!O2:O119,"H")</f>
      </c>
      <c r="D10">
        <v>8</v>
      </c>
      <c r="E10">
        <f>IF(C10=D10,"✅ PASS","❌ FAIL")</f>
      </c>
    </row>
    <row r="11" spans="1:5" x14ac:dyDescent="0.25">
      <c r="A11" t="s">
        <v>742</v>
      </c>
      <c r="B11" t="s">
        <v>743</v>
      </c>
      <c r="C11">
        <f>COUNTIF(FC_Chain_Data!O2:O119,"M")</f>
      </c>
      <c r="D11">
        <v>25</v>
      </c>
      <c r="E11">
        <f>IF(C11=D11,"✅ PASS","❌ FAIL")</f>
      </c>
    </row>
    <row r="12" spans="1:5" x14ac:dyDescent="0.25">
      <c r="A12" t="s">
        <v>744</v>
      </c>
      <c r="B12" t="s">
        <v>745</v>
      </c>
      <c r="C12">
        <f>COUNTIF(FC_Chain_Data!O2:O119,"L")</f>
      </c>
      <c r="D12">
        <v>85</v>
      </c>
      <c r="E12">
        <f>IF(C12=D12,"✅ PASS","❌ FAIL")</f>
      </c>
    </row>
    <row r="13" spans="1:5" x14ac:dyDescent="0.25">
      <c r="A13" t="s">
        <v>746</v>
      </c>
      <c r="B13" t="s">
        <v>747</v>
      </c>
      <c r="C13">
        <f>COUNTIF(FC_Chain_Data!B2:B119,"YP")</f>
      </c>
      <c r="D13">
        <v>76</v>
      </c>
      <c r="E13">
        <f>IF(C13=D13,"✅ PASS","❌ FAIL")</f>
      </c>
    </row>
    <row r="14" spans="1:5" x14ac:dyDescent="0.25">
      <c r="A14" t="s">
        <v>748</v>
      </c>
      <c r="B14" t="s">
        <v>749</v>
      </c>
      <c r="C14">
        <f>COUNTIF(FC_Chain_Data!B2:B119,"SP")</f>
      </c>
      <c r="D14">
        <v>28</v>
      </c>
      <c r="E14">
        <f>IF(C14=D14,"✅ PASS","❌ FAIL")</f>
      </c>
    </row>
    <row r="15" spans="1:5" x14ac:dyDescent="0.25">
      <c r="A15" t="s">
        <v>750</v>
      </c>
      <c r="B15" t="s">
        <v>751</v>
      </c>
      <c r="C15">
        <f>COUNTIF(FC_Chain_Data!B2:B119,"USER")</f>
      </c>
      <c r="D15">
        <v>14</v>
      </c>
      <c r="E15">
        <f>IF(C15=D15,"✅ PASS","❌ FAIL")</f>
      </c>
    </row>
    <row r="16" spans="1:5" x14ac:dyDescent="0.25">
      <c r="A16" t="s">
        <v>752</v>
      </c>
      <c r="B16" t="s">
        <v>753</v>
      </c>
      <c r="C16">
        <f>COUNTIF(FC_Chain_Data!H2:H119,"MN")</f>
      </c>
      <c r="D16">
        <v>21</v>
      </c>
      <c r="E16">
        <f>IF(C16=D16,"✅ PASS","❌ FAIL")</f>
      </c>
    </row>
    <row r="17" spans="1:5" x14ac:dyDescent="0.25">
      <c r="A17" t="s">
        <v>754</v>
      </c>
      <c r="B17" t="s">
        <v>755</v>
      </c>
      <c r="C17">
        <f>COUNTIF(FC_Chain_Data!H2:H119,"MC")</f>
      </c>
      <c r="D17">
        <v>48</v>
      </c>
      <c r="E17">
        <f>IF(C17=D17,"✅ PASS","❌ FAIL")</f>
      </c>
    </row>
    <row r="18" spans="1:5" x14ac:dyDescent="0.25">
      <c r="A18" t="s">
        <v>756</v>
      </c>
      <c r="B18" t="s">
        <v>757</v>
      </c>
      <c r="C18">
        <f>COUNTIF(FC_Chain_Data!H2:H119,"IM")</f>
      </c>
      <c r="D18">
        <v>25</v>
      </c>
      <c r="E18">
        <f>IF(C18=D18,"✅ PASS","❌ FAIL")</f>
      </c>
    </row>
    <row r="19" spans="1:5" x14ac:dyDescent="0.25">
      <c r="A19" t="s">
        <v>758</v>
      </c>
      <c r="B19" t="s">
        <v>759</v>
      </c>
      <c r="C19">
        <f>COUNTIF(FC_Chain_Data!H2:H119,"EN")</f>
      </c>
      <c r="D19">
        <v>24</v>
      </c>
      <c r="E19">
        <f>IF(C19=D19,"✅ PASS","❌ FAIL")</f>
      </c>
    </row>
    <row r="21" spans="1:5" x14ac:dyDescent="0.25">
      <c r="A21" s="7" t="s">
        <v>716</v>
      </c>
      <c r="E21" s="8">
        <f>IF(COUNTIF(E2:E19,"❌ FAIL")=0,"✅ ALL PASS (3회 검증 완료)","❌ FAIL 있음")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8" t="s">
        <v>760</v>
      </c>
      <c r="B1" t="s">
        <v>761</v>
      </c>
    </row>
    <row r="2" spans="1:2" x14ac:dyDescent="0.25">
      <c r="A2" t="s">
        <v>761</v>
      </c>
      <c r="B2" t="s">
        <v>761</v>
      </c>
    </row>
    <row r="3" spans="1:2" x14ac:dyDescent="0.25">
      <c r="A3" s="10" t="s">
        <v>762</v>
      </c>
      <c r="B3" s="10" t="s">
        <v>763</v>
      </c>
    </row>
    <row r="4" spans="1:2" x14ac:dyDescent="0.25">
      <c r="A4" t="s">
        <v>764</v>
      </c>
      <c r="B4" t="s">
        <v>765</v>
      </c>
    </row>
    <row r="5" spans="1:2" x14ac:dyDescent="0.25">
      <c r="A5" t="s">
        <v>766</v>
      </c>
      <c r="B5" t="s">
        <v>767</v>
      </c>
    </row>
    <row r="6" spans="1:2" x14ac:dyDescent="0.25">
      <c r="A6" t="s">
        <v>768</v>
      </c>
      <c r="B6">
        <v>118</v>
      </c>
    </row>
    <row r="7" spans="1:2" x14ac:dyDescent="0.25">
      <c r="A7" t="s">
        <v>710</v>
      </c>
      <c r="B7">
        <v>26</v>
      </c>
    </row>
    <row r="8" spans="1:2" x14ac:dyDescent="0.25">
      <c r="A8" t="s">
        <v>712</v>
      </c>
      <c r="B8">
        <v>20</v>
      </c>
    </row>
    <row r="9" spans="1:2" x14ac:dyDescent="0.25">
      <c r="A9" t="s">
        <v>769</v>
      </c>
      <c r="B9">
        <v>118</v>
      </c>
    </row>
    <row r="10" spans="1:2" x14ac:dyDescent="0.25">
      <c r="A10" t="s">
        <v>714</v>
      </c>
      <c r="B10">
        <v>21</v>
      </c>
    </row>
    <row r="11" spans="1:2" x14ac:dyDescent="0.25">
      <c r="A11" t="s">
        <v>770</v>
      </c>
      <c r="B11" t="s">
        <v>771</v>
      </c>
    </row>
    <row r="12" spans="1:2" x14ac:dyDescent="0.25">
      <c r="A12" t="s">
        <v>772</v>
      </c>
      <c r="B12" t="s">
        <v>771</v>
      </c>
    </row>
    <row r="13" spans="1:2" x14ac:dyDescent="0.25">
      <c r="A13" t="s">
        <v>761</v>
      </c>
      <c r="B13" t="s">
        <v>761</v>
      </c>
    </row>
    <row r="14" spans="1:2" x14ac:dyDescent="0.25">
      <c r="A14" t="s">
        <v>773</v>
      </c>
      <c r="B14">
        <f>검증1_필드완전성!E23</f>
      </c>
    </row>
    <row r="15" spans="1:2" x14ac:dyDescent="0.25">
      <c r="A15" t="s">
        <v>774</v>
      </c>
      <c r="B15">
        <f>검증2_공정별교차검증!H23</f>
      </c>
    </row>
    <row r="16" spans="1:2" x14ac:dyDescent="0.25">
      <c r="A16" t="s">
        <v>775</v>
      </c>
      <c r="B16">
        <f>검증3_FK_UUID검증!E21</f>
      </c>
    </row>
    <row r="17" spans="1:2" x14ac:dyDescent="0.25">
      <c r="A17" t="s">
        <v>761</v>
      </c>
      <c r="B17" t="s">
        <v>761</v>
      </c>
    </row>
    <row r="18" spans="1:2" x14ac:dyDescent="0.25">
      <c r="A18" t="s">
        <v>776</v>
      </c>
      <c r="B18" t="s">
        <v>761</v>
      </c>
    </row>
    <row r="19" spans="1:2" x14ac:dyDescent="0.25">
      <c r="A19" t="s">
        <v>777</v>
      </c>
      <c r="B19">
        <v>8</v>
      </c>
    </row>
    <row r="20" spans="1:2" x14ac:dyDescent="0.25">
      <c r="A20" t="s">
        <v>778</v>
      </c>
      <c r="B20">
        <v>25</v>
      </c>
    </row>
    <row r="21" spans="1:2" x14ac:dyDescent="0.25">
      <c r="A21" t="s">
        <v>779</v>
      </c>
      <c r="B21">
        <v>85</v>
      </c>
    </row>
    <row r="22" spans="1:2" x14ac:dyDescent="0.25">
      <c r="A22" t="s">
        <v>761</v>
      </c>
      <c r="B22" t="s">
        <v>761</v>
      </c>
    </row>
    <row r="23" spans="1:2" x14ac:dyDescent="0.25">
      <c r="A23" t="s">
        <v>780</v>
      </c>
      <c r="B23" t="s">
        <v>761</v>
      </c>
    </row>
    <row r="24" spans="1:2" x14ac:dyDescent="0.25">
      <c r="A24" t="s">
        <v>781</v>
      </c>
      <c r="B24">
        <v>76</v>
      </c>
    </row>
    <row r="25" spans="1:2" x14ac:dyDescent="0.25">
      <c r="A25" t="s">
        <v>782</v>
      </c>
      <c r="B25">
        <v>28</v>
      </c>
    </row>
    <row r="26" spans="1:2" x14ac:dyDescent="0.25">
      <c r="A26" t="s">
        <v>783</v>
      </c>
      <c r="B26">
        <v>14</v>
      </c>
    </row>
    <row r="27" spans="1:2" x14ac:dyDescent="0.25">
      <c r="A27" t="s">
        <v>761</v>
      </c>
      <c r="B27" t="s">
        <v>761</v>
      </c>
    </row>
    <row r="28" spans="1:2" x14ac:dyDescent="0.25">
      <c r="A28" t="s">
        <v>784</v>
      </c>
      <c r="B28" t="s">
        <v>761</v>
      </c>
    </row>
    <row r="29" spans="1:2" x14ac:dyDescent="0.25">
      <c r="A29" t="s">
        <v>785</v>
      </c>
      <c r="B29">
        <v>21</v>
      </c>
    </row>
    <row r="30" spans="1:2" x14ac:dyDescent="0.25">
      <c r="A30" t="s">
        <v>786</v>
      </c>
      <c r="B30">
        <v>48</v>
      </c>
    </row>
    <row r="31" spans="1:2" x14ac:dyDescent="0.25">
      <c r="A31" t="s">
        <v>787</v>
      </c>
      <c r="B31">
        <v>25</v>
      </c>
    </row>
    <row r="32" spans="1:2" x14ac:dyDescent="0.25">
      <c r="A32" t="s">
        <v>788</v>
      </c>
      <c r="B32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FC_Chain_Data</vt:lpstr>
      <vt:lpstr>검증1_필드완전성</vt:lpstr>
      <vt:lpstr>검증2_공정별교차검증</vt:lpstr>
      <vt:lpstr>검증3_FK_UUID검증</vt:lpstr>
      <vt:lpstr>요약_대시보드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FMEA Pipeline</dc:creator>
  <dc:title/>
  <dc:subject/>
  <dc:description/>
  <cp:keywords/>
  <cp:category/>
  <cp:lastModifiedBy>Unknown</cp:lastModifiedBy>
  <dcterms:created xsi:type="dcterms:W3CDTF">2026-03-18T22:31:08Z</dcterms:created>
  <dcterms:modified xsi:type="dcterms:W3CDTF">2026-03-18T22:31:08Z</dcterms:modified>
</cp:coreProperties>
</file>